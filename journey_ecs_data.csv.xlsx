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xl/tables/table20.xml" ContentType="application/vnd.openxmlformats-officedocument.spreadsheetml.table+xml"/>
  <Override PartName="/xl/tables/table19.xml" ContentType="application/vnd.openxmlformats-officedocument.spreadsheetml.table+xml"/>
  <Override PartName="/xl/tables/table18.xml" ContentType="application/vnd.openxmlformats-officedocument.spreadsheetml.table+xml"/>
  <Override PartName="/xl/sharedStrings.xml" ContentType="application/vnd.openxmlformats-officedocument.spreadsheetml.sharedStrings+xml"/>
  <Override PartName="/xl/worksheets/sheet6.xml" ContentType="application/vnd.openxmlformats-officedocument.spreadsheetml.worksheet+xml"/>
  <Override PartName="/xl/tables/table17.xml" ContentType="application/vnd.openxmlformats-officedocument.spreadsheetml.table+xml"/>
  <Override PartName="/xl/tables/table15.xml" ContentType="application/vnd.openxmlformats-officedocument.spreadsheetml.table+xml"/>
  <Override PartName="/xl/tables/table11.xml" ContentType="application/vnd.openxmlformats-officedocument.spreadsheetml.table+xml"/>
  <Override PartName="/xl/tables/table1.xml" ContentType="application/vnd.openxmlformats-officedocument.spreadsheetml.table+xml"/>
  <Override PartName="/xl/worksheets/sheet3.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Override PartName="/xl/tables/table8.xml" ContentType="application/vnd.openxmlformats-officedocument.spreadsheetml.table+xml"/>
  <Override PartName="/docProps/core.xml" ContentType="application/vnd.openxmlformats-package.core-properties+xml"/>
  <Override PartName="/xl/workbook.xml" ContentType="application/vnd.openxmlformats-officedocument.spreadsheetml.sheet.main+xml"/>
  <Override PartName="/xl/tables/table6.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7.xml" ContentType="application/vnd.openxmlformats-officedocument.spreadsheetml.table+xml"/>
  <Override PartName="/xl/tables/table3.xml" ContentType="application/vnd.openxmlformats-officedocument.spreadsheetml.table+xml"/>
  <Override PartName="/xl/tables/table5.xml" ContentType="application/vnd.openxmlformats-officedocument.spreadsheetml.table+xml"/>
  <Override PartName="/xl/tables/table12.xml" ContentType="application/vnd.openxmlformats-officedocument.spreadsheetml.table+xml"/>
  <Override PartName="/xl/tables/table4.xml" ContentType="application/vnd.openxmlformats-officedocument.spreadsheetml.table+xml"/>
  <Override PartName="/xl/tables/table16.xml" ContentType="application/vnd.openxmlformats-officedocument.spreadsheetml.table+xml"/>
  <Override PartName="/xl/tables/table9.xml" ContentType="application/vnd.openxmlformats-officedocument.spreadsheetml.table+xml"/>
  <Override PartName="/xl/worksheets/sheet4.xml" ContentType="application/vnd.openxmlformats-officedocument.spreadsheetml.worksheet+xml"/>
  <Override PartName="/xl/tables/table14.xml" ContentType="application/vnd.openxmlformats-officedocument.spreadsheetml.table+xml"/>
  <Override PartName="/xl/tables/table10.xml" ContentType="application/vnd.openxmlformats-officedocument.spreadsheetml.table+xml"/>
  <Override PartName="/xl/tables/table13.xml" ContentType="application/vnd.openxmlformats-officedocument.spreadsheetml.table+xml"/>
  <Override PartName="/xl/worksheets/sheet5.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4"/>
  </bookViews>
  <sheets>
    <sheet name="Sheet1" sheetId="1" state="visible" r:id="rId1"/>
    <sheet name="Create world restructure" sheetId="2" state="visible" r:id="rId2"/>
    <sheet name="Register Data" sheetId="3" state="visible" r:id="rId3"/>
    <sheet name="create_indices" sheetId="4" state="visible" r:id="rId4"/>
    <sheet name="bind_indices" sheetId="5" state="visible" r:id="rId5"/>
    <sheet name="indice_intersect"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<sst xmlns="http://schemas.openxmlformats.org/spreadsheetml/2006/main" count="224" uniqueCount="224">
  <si>
    <t xml:space="preserve">w i/r indices_bit_capacity</t>
  </si>
  <si>
    <t xml:space="preserve"> w i/r unique_data_capacity</t>
  </si>
  <si>
    <t xml:space="preserve"> w l/r target_unique_data_capcity</t>
  </si>
  <si>
    <t xml:space="preserve"> w l/r target_indices_capacity</t>
  </si>
  <si>
    <t xml:space="preserve"> w r target_unique_data_page_size</t>
  </si>
  <si>
    <t xml:space="preserve"> w r target_indices_page_size</t>
  </si>
  <si>
    <t xml:space="preserve"> w o/w data_storage_address</t>
  </si>
  <si>
    <t xml:space="preserve"> w o/w indices_address</t>
  </si>
  <si>
    <t xml:space="preserve"> w o/w world_address</t>
  </si>
  <si>
    <t xml:space="preserve"> </t>
  </si>
  <si>
    <t xml:space="preserve"> w l/r target_unique_data_capcity saved</t>
  </si>
  <si>
    <t xml:space="preserve"> w r target_unique_data_page_size saved</t>
  </si>
  <si>
    <t xml:space="preserve">page size saved</t>
  </si>
  <si>
    <t xml:space="preserve"> r i/rw world_address</t>
  </si>
  <si>
    <t xml:space="preserve"> r i/r  blob_array_address</t>
  </si>
  <si>
    <t xml:space="preserve"> r o/rw blob_element_address</t>
  </si>
  <si>
    <t xml:space="preserve"> r i/r data_storage_index</t>
  </si>
  <si>
    <t xml:space="preserve"> r l/r total_size</t>
  </si>
  <si>
    <t xml:space="preserve"> r o/w data_size</t>
  </si>
  <si>
    <r>
      <rPr>
        <sz val="11"/>
        <color theme="1"/>
        <rFont val="Calibri"/>
        <scheme val="minor"/>
      </rPr>
      <t xml:space="preserve">To Compute total size
</t>
    </r>
    <r>
      <rPr>
        <b/>
        <sz val="11"/>
        <color theme="1"/>
        <rFont val="Calibri"/>
        <scheme val="minor"/>
      </rPr>
      <t xml:space="preserve">metadata secton:
 </t>
    </r>
    <r>
      <rPr>
        <sz val="11"/>
        <color theme="1"/>
        <rFont val="Calibri"/>
        <scheme val="minor"/>
      </rPr>
      <t xml:space="preserve">size_of(BlobMeta) == 64
</t>
    </r>
    <r>
      <rPr>
        <b/>
        <sz val="11"/>
        <color theme="1"/>
        <rFont val="Calibri"/>
        <scheme val="minor"/>
      </rPr>
      <t xml:space="preserve">data secton:</t>
    </r>
    <r>
      <rPr>
        <sz val="11"/>
        <color theme="1"/>
        <rFont val="Calibri"/>
        <scheme val="minor"/>
      </rPr>
      <t xml:space="preserve">
size_of(#simd[8]type) * 2 * core_count * batch_factor
to get the batch factor we will just take the count and divide it by core_count a do a ceiling
</t>
    </r>
    <r>
      <rPr>
        <b/>
        <sz val="11"/>
        <color theme="1"/>
        <rFont val="Calibri"/>
        <scheme val="minor"/>
      </rPr>
      <t xml:space="preserve">indices secton:</t>
    </r>
    <r>
      <rPr>
        <sz val="11"/>
        <color theme="1"/>
        <rFont val="Calibri"/>
        <scheme val="minor"/>
      </rPr>
      <t xml:space="preserve">
remaining bytes from page size granularity. (Is this a good solution) </t>
    </r>
  </si>
  <si>
    <t xml:space="preserve">Offset 1</t>
  </si>
  <si>
    <t xml:space="preserve">Offset 2</t>
  </si>
  <si>
    <t xml:space="preserve">Offset 3</t>
  </si>
  <si>
    <t xml:space="preserve">Offset 4</t>
  </si>
  <si>
    <t xml:space="preserve">Export:
We need the data_storage_index to index into the correct blob array
We need the world to get the World blob array
We need the blob array address
We need the blob element address
we need the data count
we need the data size to compute the total size
we need the total size to allocate using mmap</t>
  </si>
  <si>
    <t xml:space="preserve">type : f32
core_count : 6
count : 12
32*2*6*(12/6)
32*2*6*2 = 768
12 cache line for 12 data
24 data for a count of 12
multiple = ceiling(count / SIMD_LANE)
needed = size_of(#simd[SIMD_LANE]type) * multiple
needed_cache_aligned = aligned_cacheline(needed)
res = needed_cache_aligned * core_count</t>
  </si>
  <si>
    <t xml:space="preserve">Element Offset</t>
  </si>
  <si>
    <t xml:space="preserve">count : 12
SIMD_LANE: 8
core_count = 6
type = f32</t>
  </si>
  <si>
    <t xml:space="preserve">working_chunk = ceiling(count / SIMD_LANE)</t>
  </si>
  <si>
    <t xml:space="preserve">ceiling(12 / 8) or (12+7) / 8</t>
  </si>
  <si>
    <t xml:space="preserve">needed_raw_bytes = size_of(#simd[SIMD_LANE]type) * working_chunk</t>
  </si>
  <si>
    <t xml:space="preserve">32 * 2</t>
  </si>
  <si>
    <t xml:space="preserve">aligned_cacheline_raw_bytes = align_64(needed_raw_bytes)</t>
  </si>
  <si>
    <t>align_64(64)</t>
  </si>
  <si>
    <t xml:space="preserve">res = aligned_cacheline_raw_bytes * core_count</t>
  </si>
  <si>
    <t xml:space="preserve">64 * 6</t>
  </si>
  <si>
    <t xml:space="preserve">Even though we are using 12 elements (48 bytes) we are actually using 386 bytes in this formula
because we need 2 #simd[8]f32 to cover 12 elements and we are also allocating 2 #simd[8]f32 per core, so
2 * size_of(#simd[8]f32) * core_count
or 
2 * 32 * 6 == 384
that is 8 times more bytes needed
what if the number of element is cleanly divisble by the core count we dont need to multiply it just chunk it.
eg if the element is 48 then we know that 1 #simd[8]f32 per core (6*8 == 48)
rather than make it 48 * 6 elements which is 288
which is 6 time larger than needed.
Remeber each core will deal with 64 byte though
so
if the element is 48 then we know that 1 #simd[8]f32 per core (6*16 != 96)
So it will actually be 96 </t>
  </si>
  <si>
    <t xml:space="preserve"> r i/r meta_data_size</t>
  </si>
  <si>
    <t xml:space="preserve"> r i/r working_chunk_size</t>
  </si>
  <si>
    <t xml:space="preserve"> r i/r data_capacities</t>
  </si>
  <si>
    <t xml:space="preserve"> r i/r data_needed_raw_bytes</t>
  </si>
  <si>
    <t xml:space="preserve"> r i/r align_raw_bytes_needed</t>
  </si>
  <si>
    <t xml:space="preserve"> r i/r distributed_data_raw_bytes</t>
  </si>
  <si>
    <t xml:space="preserve"> r i/r total_size</t>
  </si>
  <si>
    <t xml:space="preserve"> r i/r pages_size</t>
  </si>
  <si>
    <t xml:space="preserve"> r o/w current_bytes_offset</t>
  </si>
  <si>
    <t xml:space="preserve">Data Size</t>
  </si>
  <si>
    <t xml:space="preserve">Data Count</t>
  </si>
  <si>
    <t xml:space="preserve">Bytes occupied</t>
  </si>
  <si>
    <t xml:space="preserve">Distributed Data count</t>
  </si>
  <si>
    <t xml:space="preserve">Byte occupied</t>
  </si>
  <si>
    <t xml:space="preserve">Page Count</t>
  </si>
  <si>
    <t xml:space="preserve">Single Core (Not aligned)</t>
  </si>
  <si>
    <t xml:space="preserve">Multi Core (6 Not aligned)</t>
  </si>
  <si>
    <t xml:space="preserve">Data size</t>
  </si>
  <si>
    <t xml:space="preserve">Number of data count </t>
  </si>
  <si>
    <t xml:space="preserve">Data Count per soa</t>
  </si>
  <si>
    <t xml:space="preserve">Optimal bytes needed</t>
  </si>
  <si>
    <t xml:space="preserve">Delta Bytes</t>
  </si>
  <si>
    <t xml:space="preserve">Page needed</t>
  </si>
  <si>
    <t xml:space="preserve">Page count</t>
  </si>
  <si>
    <t xml:space="preserve">Number of data count</t>
  </si>
  <si>
    <t xml:space="preserve">Data Count per soa core</t>
  </si>
  <si>
    <t>Delta</t>
  </si>
  <si>
    <t xml:space="preserve">Single Core (Aligned)</t>
  </si>
  <si>
    <t xml:space="preserve">Multi Core (6 Aligned)</t>
  </si>
  <si>
    <t xml:space="preserve">Extra space due to cache alignment</t>
  </si>
  <si>
    <t xml:space="preserve">Single core</t>
  </si>
  <si>
    <t xml:space="preserve">Multi core</t>
  </si>
  <si>
    <t xml:space="preserve">Meta data (64 bytes)</t>
  </si>
  <si>
    <t xml:space="preserve">Size (Bytes)</t>
  </si>
  <si>
    <t xml:space="preserve">Usage (Hot, Cold)</t>
  </si>
  <si>
    <t xml:space="preserve">Access Index (0 = frequent)</t>
  </si>
  <si>
    <t xml:space="preserve">Importance (0 = important)</t>
  </si>
  <si>
    <t xml:space="preserve">Usage count</t>
  </si>
  <si>
    <t xml:space="preserve">Usage type (Read, Write, Read/Write)</t>
  </si>
  <si>
    <t>Description</t>
  </si>
  <si>
    <t>Column1</t>
  </si>
  <si>
    <t>Cold</t>
  </si>
  <si>
    <t xml:space="preserve">Initial Write than Readonly</t>
  </si>
  <si>
    <t xml:space="preserve">Allocated bytes for component (deallocating, etc..)</t>
  </si>
  <si>
    <t>Hot</t>
  </si>
  <si>
    <t xml:space="preserve">The data size in bytes of the component type</t>
  </si>
  <si>
    <t xml:space="preserve">Allocated indices fragmentation bytes</t>
  </si>
  <si>
    <t xml:space="preserve">requested bytes for component</t>
  </si>
  <si>
    <t xml:space="preserve">padded bytes (components)</t>
  </si>
  <si>
    <t>Read/Write</t>
  </si>
  <si>
    <t xml:space="preserve">current indices fragmentation byte offset</t>
  </si>
  <si>
    <t xml:space="preserve">current component byte offset</t>
  </si>
  <si>
    <t xml:space="preserve">Thread chunk size in bytes for component</t>
  </si>
  <si>
    <t xml:space="preserve">or merge
coure_count</t>
  </si>
  <si>
    <t xml:space="preserve">Thread chunk size in bytes for indices fragmentation</t>
  </si>
  <si>
    <t>remaining</t>
  </si>
  <si>
    <t>Read</t>
  </si>
  <si>
    <t xml:space="preserve">_unused_ (maybe tracking, or something)</t>
  </si>
  <si>
    <t xml:space="preserve"> r i/r data_size</t>
  </si>
  <si>
    <t xml:space="preserve"> r i/r data_capacity</t>
  </si>
  <si>
    <t xml:space="preserve"> r i/r indice_frag_capacity</t>
  </si>
  <si>
    <t xml:space="preserve">Indices_count/data_count Q</t>
  </si>
  <si>
    <t xml:space="preserve">Indices_count/data_count D</t>
  </si>
  <si>
    <t>Page_count</t>
  </si>
  <si>
    <t xml:space="preserve">Indices fragmentation count uses alot of memory space compared to the data!</t>
  </si>
  <si>
    <t xml:space="preserve">Indices capacity</t>
  </si>
  <si>
    <t xml:space="preserve">Indice byte size</t>
  </si>
  <si>
    <t xml:space="preserve">Indice byte size2</t>
  </si>
  <si>
    <t xml:space="preserve">Page count3</t>
  </si>
  <si>
    <t xml:space="preserve">Difference Page count</t>
  </si>
  <si>
    <t xml:space="preserve">Distributed Page count</t>
  </si>
  <si>
    <t>Difference</t>
  </si>
  <si>
    <t>Difference3</t>
  </si>
  <si>
    <t xml:space="preserve">So we use a extra 8.2 to 8.5 pages for distributed Indices (not used) . Do we even need to multiply it by core count, since it will only be read by multiple cores, so there shouldn't be any false sharing or bottleneck. the data is already cache line aligned so accessing the data than indices shouldn't cause any issue since the first indice is after a cache line. We still want the total bytes needed to be aligned to page size though</t>
  </si>
  <si>
    <t xml:space="preserve"> r i/r dist data_capacity</t>
  </si>
  <si>
    <t xml:space="preserve"> r l/r indices_frag_raw_bytes</t>
  </si>
  <si>
    <t xml:space="preserve">Page size</t>
  </si>
  <si>
    <t>Row</t>
  </si>
  <si>
    <t xml:space="preserve">Given total (bytes / pages)</t>
  </si>
  <si>
    <t xml:space="preserve">Computed raw bytes</t>
  </si>
  <si>
    <t xml:space="preserve">Rounded total (bytes)</t>
  </si>
  <si>
    <t>Pages</t>
  </si>
  <si>
    <t xml:space="preserve">8192 B / 2 pages</t>
  </si>
  <si>
    <t xml:space="preserve">2,816 B</t>
  </si>
  <si>
    <t xml:space="preserve">4,096 B</t>
  </si>
  <si>
    <t xml:space="preserve">20,480 B / 5 pages</t>
  </si>
  <si>
    <t xml:space="preserve">11,360 B</t>
  </si>
  <si>
    <t xml:space="preserve">12,288 B</t>
  </si>
  <si>
    <t xml:space="preserve">28,672 B / 7 pages</t>
  </si>
  <si>
    <t xml:space="preserve">16,976 B</t>
  </si>
  <si>
    <t xml:space="preserve">20,480 B</t>
  </si>
  <si>
    <t xml:space="preserve">32,768 B / 8 pages</t>
  </si>
  <si>
    <t xml:space="preserve">16,856 B</t>
  </si>
  <si>
    <t>data_capacity</t>
  </si>
  <si>
    <t>distributed_data_capacity</t>
  </si>
  <si>
    <t xml:space="preserve">data_capacity * core_count</t>
  </si>
  <si>
    <t>cache_line_aligned</t>
  </si>
  <si>
    <t>page_size_aligned</t>
  </si>
  <si>
    <t xml:space="preserve">page size</t>
  </si>
  <si>
    <t xml:space="preserve">So maybe first cache align (data_cap * data_size) it then multiply it by the core count</t>
  </si>
  <si>
    <t xml:space="preserve">End Result</t>
  </si>
  <si>
    <t xml:space="preserve">r i/r data_size</t>
  </si>
  <si>
    <t xml:space="preserve"> r i/r data_capacity * core_count</t>
  </si>
  <si>
    <t>indices_cap</t>
  </si>
  <si>
    <t>total_byte_size_needed</t>
  </si>
  <si>
    <t xml:space="preserve">page count</t>
  </si>
  <si>
    <t xml:space="preserve">l/rw world_address</t>
  </si>
  <si>
    <t xml:space="preserve"> l/r indice_count</t>
  </si>
  <si>
    <t xml:space="preserve"> l/rw previous_indices_count</t>
  </si>
  <si>
    <t xml:space="preserve"> l/rw indices_count</t>
  </si>
  <si>
    <t>Runtime</t>
  </si>
  <si>
    <t>Constant</t>
  </si>
  <si>
    <t>Return</t>
  </si>
  <si>
    <t xml:space="preserve">Nothing really to look at. Very primitive.</t>
  </si>
  <si>
    <t xml:space="preserve">i/rw world_address</t>
  </si>
  <si>
    <t xml:space="preserve"> i/r blob_index</t>
  </si>
  <si>
    <t xml:space="preserve"> i/r indices_address</t>
  </si>
  <si>
    <t xml:space="preserve"> i/r indices_length</t>
  </si>
  <si>
    <t xml:space="preserve"> i/r indices_element</t>
  </si>
  <si>
    <t xml:space="preserve"> l/rw blob_address</t>
  </si>
  <si>
    <t xml:space="preserve"> l/r blob_indice_offset</t>
  </si>
  <si>
    <t xml:space="preserve"> total_indice_offset</t>
  </si>
  <si>
    <t xml:space="preserve"> total_data_offset</t>
  </si>
  <si>
    <t xml:space="preserve"> rw blob_current_indices_frag_byte_offset</t>
  </si>
  <si>
    <t xml:space="preserve"> rw blob_current_data_byte_offset</t>
  </si>
  <si>
    <t xml:space="preserve">What we want</t>
  </si>
  <si>
    <t xml:space="preserve">What we have</t>
  </si>
  <si>
    <t xml:space="preserve">[0,53],  [53,73],  [73,123],  [123,160]</t>
  </si>
  <si>
    <t xml:space="preserve">[53,73], [73,123], [123,160]</t>
  </si>
  <si>
    <t xml:space="preserve">[0,53],  [53,73]</t>
  </si>
  <si>
    <t>[53,73]</t>
  </si>
  <si>
    <t xml:space="preserve">[73,123], [123,160]</t>
  </si>
  <si>
    <t>[123,160]</t>
  </si>
  <si>
    <t xml:space="preserve">So for indices_length 4 we want 0,53,73,123,160
for indices_length 2 we want 0,53,73
and for the last indices_length 2 we want 73,123,160
for a indices_length of 3 we get 53, 73, 123 which is [53,73] [73, 123], [123, ?]
so the current implementation is wrong!</t>
  </si>
  <si>
    <t xml:space="preserve"> //Create 53 "prop entities"
     props := create_indices(world, 53)
     //Create 20 "enemy entities"
  enemies := create_indices(world, 20)
     //Create 50 "npc entities"
  npc := create_indices(world, 50)
    //Create 37 "merchant entities"
     npc_merchant := create_indices(world, 37)
     indices := []DWORD{props, enemies, npc, npc_merchant}
     bind_indices_to_blob(world, HEALTH_STORAGE_INDEX, raw_data(indices), 4)
     bind_indices_to_blob(world, NPC_POSITION_STORAGE_INDEX, raw_data(indices), 2)
     bind_indices_to_blob(world, ENEMY_POSITION_STORAGE_INDEX, raw_data(indices[2:]), 2)
so if we don't have the indices slice in the order of how the indices are created otherwise when we pass the slice than the whole indices structure is broken.....
is this what we want? Eg. indices : []DWORD{enemies, merchant, props, npc} will break the structure on how create_indices represent the indices ("entity")
So we keep the ordering interal in the World?</t>
  </si>
  <si>
    <t>blob_indice_offset</t>
  </si>
  <si>
    <t>1540</t>
  </si>
  <si>
    <t>1924</t>
  </si>
  <si>
    <t>2692</t>
  </si>
  <si>
    <t xml:space="preserve">Number of DWORD</t>
  </si>
  <si>
    <t xml:space="preserve">Number of indice pair</t>
  </si>
  <si>
    <t xml:space="preserve">Number of bytes</t>
  </si>
  <si>
    <t xml:space="preserve">So Instead it will look like this
 //Create 53 "prop entities"
     create_indices(world, 53)
     //Create 20 "enemy entities"
  create_indices(world, 20)
     //Create 50 "npc entities"
 create_indices(world, 50)
    //Create 37 "merchant entities"
     create_indices(world, 37)
     bind_indices_to_blob(world, HEALTH_STORAGE_INDEX, 0, 4)
     bind_indices_to_blob(world, NPC_POSITION_STORAGE_INDEX, 0, 2)
     bind_indices_to_blob(world, ENEMY_POSITION_STORAGE_INDEX, 2, 2)
where the third parameter is the offset and the last parameter is the length
eg if the offset is 1 and the length is two than we will bind enemy entities, and the npc entities because we are skipping the first which is prop entities. The offset is which indices (entities) you want to start wil
and the length is the specifies how many indices we are binding to the blob
so for the first we are binding all the indices
the second we are binding only enemy indices and npc indices
the third we are binding only npc indices and the merchant indices
The first parameter will be non constant, second parameter is constant, third parameter is constant and last parameter is constant as well.
</t>
  </si>
  <si>
    <t xml:space="preserve">Blob_Address (Indices)</t>
  </si>
  <si>
    <t xml:space="preserve">Blob_Address (Origin)</t>
  </si>
  <si>
    <t>Page_Number</t>
  </si>
  <si>
    <t>Offset</t>
  </si>
  <si>
    <t xml:space="preserve">So the Wo</t>
  </si>
  <si>
    <t xml:space="preserve"> i/w intersect_buffer</t>
  </si>
  <si>
    <t xml:space="preserve"> i/r intersect_indice</t>
  </si>
  <si>
    <t xml:space="preserve"> l/r intersect_indice_begin</t>
  </si>
  <si>
    <t xml:space="preserve"> l/r intersect_indice_end</t>
  </si>
  <si>
    <t xml:space="preserve"> l/rw blob_indice_address</t>
  </si>
  <si>
    <t xml:space="preserve"> l/r blob_indice_begin</t>
  </si>
  <si>
    <t xml:space="preserve"> l/r blob_indice_end</t>
  </si>
  <si>
    <t xml:space="preserve"> l/r indices.start &lt; blob_indices.end</t>
  </si>
  <si>
    <t xml:space="preserve"> l/r blob_indices.start &lt; indices.end</t>
  </si>
  <si>
    <t xml:space="preserve"> l/rw intersect_begin</t>
  </si>
  <si>
    <t xml:space="preserve"> l/rw intersect_end</t>
  </si>
  <si>
    <t xml:space="preserve"> l/w intersect</t>
  </si>
  <si>
    <t xml:space="preserve"> l/rw intersect_count</t>
  </si>
  <si>
    <t xml:space="preserve">Compile time</t>
  </si>
  <si>
    <t xml:space="preserve">Address Offsets</t>
  </si>
  <si>
    <t xml:space="preserve">Address Offset from Other Address</t>
  </si>
  <si>
    <t>world_offset</t>
  </si>
  <si>
    <t>intersect_buffer_offset</t>
  </si>
  <si>
    <t>blob_offset</t>
  </si>
  <si>
    <t>world/blob</t>
  </si>
  <si>
    <t>world/blob_indice</t>
  </si>
  <si>
    <t>blob/blob_indice</t>
  </si>
  <si>
    <t>world/intersect_buffer</t>
  </si>
  <si>
    <t>blob/intersect_buffer</t>
  </si>
  <si>
    <t>blob_indice/intersect_buffer</t>
  </si>
  <si>
    <t xml:space="preserve"> We will look at all the duplicate first
world_address
blob_index
intersect_buffer
intersect_indice
intersect_indice_begin
intersect_indice_end
blob_address
blob_indices.start &lt; indices.end
</t>
  </si>
  <si>
    <t xml:space="preserve">Page size offset from other address</t>
  </si>
  <si>
    <t xml:space="preserve">blob/blob_indice (QWORD)</t>
  </si>
  <si>
    <t xml:space="preserve">world/intersect_buffer </t>
  </si>
  <si>
    <t xml:space="preserve">blob/blob_indice (DWORD)</t>
  </si>
  <si>
    <t xml:space="preserve">Diff QWORD to DWORD in Page</t>
  </si>
  <si>
    <t xml:space="preserve">Diff  QWORD to DWORD in Bytes</t>
  </si>
  <si>
    <t xml:space="preserve">SIMD alignment issue
if payload is aligned that make
Aligned (Assuming that payload[0]) is 32 aligned:
blob_indices_start_simd := #simd[4]{payload[0..3]}
Unaligned because we are getting payload[1] (4b)   
blob_indices_end_simd := #simd[4]{payload[1..4]} 
so blob_indices_start_simd is aligned load
and blob_indices_end is unaligned load</t>
  </si>
  <si>
    <t xml:space="preserve">Default (QWORD)</t>
  </si>
  <si>
    <t xml:space="preserve">Reduction (DWORD)</t>
  </si>
  <si>
    <t xml:space="preserve">Current the indices section is stored as [start,end,start, end....]
example [0,53, 53,73, 73,123, 123,160]
would it be better to store it as [0,53,73,123,160]
where start will be     [00, 53, 73, 123]
and end will be            [53,73,123,160]
simd would be easy to do since we just get all the element in the indices except the last element for begin
and we can easy get all the elements in the indices except the first element for end
</t>
  </si>
  <si>
    <t xml:space="preserve">If we use the slightly abstract way of storing but we get lower memory consumption from N*2 to N+1 and we also allow a more intutive way to use simd on the indices if needed.
instead of doing a branch on indices.start &lt; blob_indices.end and blob_indices.start &lt; indices.end we can store each one of them as a simd
example 
indices_start_simd := #simd[4]{indices.start} //(broadcast)
indices_end_simd := #simd[4]{indices.end} //broadcast
blob_indices_start_simd := #simd[4]{payload[0..3]} //we will keep doing this until we reach the last element and we will exclude the last element
blob_indices_end_simd := #simd[4]{payload[1..4]} //we will keep doing this until we reach the last element and we will include the last element
there is no interleaving in this way
than we can do a mask example
a := CMPLTPS(indices_start_simd, blob_indices_end_simd) 
b := CMPLTPS(blob_indices_start_simd, indices_end_simd)
mask := ANDPS(a, b)
than we can use the mask for intersect begin and intersect_end or even better we can do it in the intersect which will only do the ANDPS once rather than twice for intersect_begin and intersect_end</t>
  </si>
  <si>
    <t xml:space="preserve">A transition from IC to OC mode is only possible at a branch target, and the machine generally remains in OC mode until an op cache miss occurs on a fetch address.
So our goal is to reduce the number of macro ops in the loop and use instruction that are fastpath single 
The op cache (OC) is a 512-entry, up from 256-entry in Zen, 8-way set associative, parity protected cache of previously decoded instructions. Each entry contains up to 8 sequential instructions ending in the same 64-byte aligned memory region, resulting in a maximum capacity of 4096 instructions, or rather, macro-ops</t>
  </si>
  <si>
    <t xml:space="preserve">Final Design Thoughts:
Input:
We will need the world_address to access the blob_array so passing in the world will not change. The blob_index will be constant because in most/all cases I can think about the user will know which blob it need to access at compile time and not at runtime, so I don't want to make indexing into the blob_array generate more instruction due to runtime value, and thus more slower when most cases it can generate less instruction due to compile time indexing.
the user will also have to specify which indice or sub-indice to check in the specific blob that will be runtime, since the user may pass the indice/s value created by create_indices or local/global variables these can't be a compile time value,
thus it will not work. The user will also be required to pass a buffer. The function will not do any allocation or deallocation the allocation and deallocation is handled by the user and not the function. The buffer will be mutated by the function though, so the user shouldn't pass in a buffer that contains important information.
Output:
The number of intersection that happens with the specified blob's indices and the indice that the user passed in the function. This is the total length of the buffer that has been mutated in the function.
The buffer passed in will be mutated as well
 Transform:
The transformation will be done in SIMD style, so refer to the top</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</si>
</sst>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7">
    <font>
      <sz val="11.000000"/>
      <color theme="1"/>
      <name val="Calibri"/>
      <scheme val="minor"/>
    </font>
    <font>
      <b/>
      <color theme="0"/>
    </font>
    <font>
      <color theme="0"/>
    </font>
    <font>
      <b/>
      <sz val="11.000000"/>
      <color theme="0"/>
      <name val="Calibri"/>
      <scheme val="minor"/>
    </font>
    <font>
      <sz val="11.000000"/>
      <color theme="0"/>
      <name val="Calibri"/>
      <scheme val="minor"/>
    </font>
    <font>
      <sz val="11.000000"/>
      <color theme="0" tint="0"/>
      <name val="Calibri"/>
      <scheme val="minor"/>
    </font>
    <font>
      <b/>
      <sz val="11.000000"/>
      <color theme="1" tint="0"/>
      <name val="Calibri"/>
      <scheme val="minor"/>
    </font>
    <font>
      <color theme="1"/>
    </font>
    <font>
      <b/>
      <sz val="12.000000"/>
      <color indexed="64"/>
      <name val="Times New Roman"/>
    </font>
    <font>
      <sz val="12.000000"/>
      <color indexed="64"/>
      <name val="Times New Roman"/>
    </font>
    <font>
      <sz val="11.000000"/>
      <color indexed="2"/>
      <name val="Calibri"/>
      <scheme val="minor"/>
    </font>
    <font>
      <sz val="11.000000"/>
      <color indexed="5"/>
      <name val="Calibri"/>
      <scheme val="minor"/>
    </font>
    <font>
      <sz val="11.000000"/>
      <color rgb="FF00B050"/>
      <name val="Calibri"/>
      <scheme val="minor"/>
    </font>
    <font>
      <sz val="11.000000"/>
      <color theme="2" tint="0"/>
      <name val="Calibri"/>
      <scheme val="minor"/>
    </font>
    <font>
      <sz val="11.000000"/>
      <color rgb="FF0070C0"/>
      <name val="Calibri"/>
      <scheme val="minor"/>
    </font>
    <font>
      <b/>
      <sz val="11.000000"/>
      <color theme="1"/>
      <name val="Calibri"/>
      <scheme val="minor"/>
    </font>
    <font>
      <sz val="12.000000"/>
      <color theme="1"/>
      <name val="Calibri"/>
      <scheme val="minor"/>
    </font>
  </fonts>
  <fills count="16">
    <fill>
      <patternFill patternType="none"/>
    </fill>
    <fill>
      <patternFill patternType="gray125"/>
    </fill>
    <fill>
      <patternFill patternType="solid">
        <fgColor theme="1"/>
        <bgColor theme="1"/>
      </patternFill>
    </fill>
    <fill>
      <patternFill patternType="solid">
        <fgColor theme="1" tint="0"/>
        <bgColor theme="1" tint="0"/>
      </patternFill>
    </fill>
    <fill>
      <patternFill patternType="solid">
        <fgColor theme="1" tint="0.249977111117893"/>
        <bgColor theme="1" tint="0.249977111117893"/>
      </patternFill>
    </fill>
    <fill>
      <patternFill patternType="solid">
        <fgColor theme="1" tint="0.44999542222357858"/>
        <bgColor theme="1" tint="0.44999542222357858"/>
      </patternFill>
    </fill>
    <fill>
      <patternFill patternType="solid">
        <fgColor theme="1" tint="0.249977111117893"/>
        <bgColor indexed="65"/>
      </patternFill>
    </fill>
    <fill>
      <patternFill patternType="solid">
        <fgColor theme="0" tint="-0.14999847407452621"/>
        <bgColor theme="0" tint="-0.14999847407452621"/>
      </patternFill>
    </fill>
    <fill>
      <patternFill patternType="solid">
        <fgColor theme="0" tint="0"/>
        <bgColor theme="0" tint="0"/>
      </patternFill>
    </fill>
    <fill>
      <patternFill patternType="solid">
        <fgColor theme="0" tint="-0.249977111117893"/>
        <bgColor theme="0" tint="-0.249977111117893"/>
      </patternFill>
    </fill>
    <fill>
      <patternFill patternType="solid">
        <fgColor theme="4"/>
        <bgColor theme="4"/>
      </patternFill>
    </fill>
    <fill>
      <patternFill patternType="solid">
        <fgColor theme="4" tint="0.79998168889431442"/>
        <bgColor theme="4" tint="0.79998168889431442"/>
      </patternFill>
    </fill>
    <fill>
      <patternFill patternType="solid">
        <fgColor rgb="FFDBE5F1"/>
        <bgColor rgb="FFDBE5F1"/>
      </patternFill>
    </fill>
    <fill>
      <patternFill patternType="solid">
        <fgColor theme="1" tint="0.14999847407452621"/>
        <bgColor theme="1" tint="0.14999847407452621"/>
      </patternFill>
    </fill>
    <fill>
      <patternFill patternType="solid">
        <fgColor theme="0" tint="-0.34998626667073579"/>
        <bgColor theme="0" tint="-0.34998626667073579"/>
      </patternFill>
    </fill>
    <fill>
      <patternFill patternType="solid">
        <fgColor rgb="FFC00000"/>
        <bgColor rgb="FFC00000"/>
      </patternFill>
    </fill>
  </fills>
  <borders count="29">
    <border>
      <left style="none"/>
      <right style="none"/>
      <top style="none"/>
      <bottom style="none"/>
      <diagonal style="none"/>
    </border>
    <border>
      <left/>
      <right/>
      <top/>
      <bottom style="medium">
        <color theme="0"/>
      </bottom>
      <diagonal/>
    </border>
    <border>
      <left style="thin">
        <color theme="1"/>
      </left>
      <right style="thin">
        <color theme="1"/>
      </right>
      <top style="thin">
        <color theme="1"/>
      </top>
      <bottom style="medium">
        <color theme="0"/>
      </bottom>
      <diagonal style="none"/>
    </border>
    <border>
      <left style="thin">
        <color theme="1"/>
      </left>
      <right style="thin">
        <color theme="1"/>
      </right>
      <top style="medium">
        <color theme="0"/>
      </top>
      <bottom style="thin">
        <color theme="1"/>
      </bottom>
      <diagonal style="none"/>
    </border>
    <border>
      <left style="thin">
        <color theme="1"/>
      </left>
      <right style="thin">
        <color theme="1"/>
      </right>
      <top style="thin">
        <color theme="1"/>
      </top>
      <bottom style="thin">
        <color theme="1"/>
      </bottom>
      <diagonal style="none"/>
    </border>
    <border>
      <left style="thin">
        <color theme="1"/>
      </left>
      <right style="thin">
        <color theme="1"/>
      </right>
      <top style="none"/>
      <bottom style="thin">
        <color theme="1"/>
      </bottom>
      <diagonal style="none"/>
    </border>
    <border>
      <left style="none"/>
      <right style="none"/>
      <top style="none"/>
      <bottom style="medium">
        <color theme="0"/>
      </bottom>
      <diagonal style="none"/>
    </border>
    <border>
      <left style="thin">
        <color theme="1"/>
      </left>
      <right style="none"/>
      <top style="thin">
        <color theme="1"/>
      </top>
      <bottom style="thin">
        <color theme="1"/>
      </bottom>
      <diagonal style="none"/>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4" tint="0.39997558519241921"/>
      </left>
      <right style="none"/>
      <top style="thin">
        <color theme="4" tint="0.39997558519241921"/>
      </top>
      <bottom style="thin">
        <color theme="4" tint="0.39997558519241921"/>
      </bottom>
      <diagonal style="none"/>
    </border>
    <border>
      <left style="none"/>
      <right style="none"/>
      <top style="thin">
        <color theme="4" tint="0.39997558519241921"/>
      </top>
      <bottom style="thin">
        <color theme="4" tint="0.39997558519241921"/>
      </bottom>
      <diagonal style="none"/>
    </border>
    <border>
      <left style="none"/>
      <right style="thin">
        <color theme="4" tint="0.39997558519241921"/>
      </right>
      <top style="thin">
        <color theme="4" tint="0.39997558519241921"/>
      </top>
      <bottom style="thin">
        <color theme="4" tint="0.39997558519241921"/>
      </bottom>
      <diagonal style="none"/>
    </border>
    <border>
      <left style="thin">
        <color theme="4" tint="0.39997558519241921"/>
      </left>
      <right style="thin">
        <color theme="4" tint="0.39997558519241921"/>
      </right>
      <top style="thin">
        <color theme="4" tint="0.39997558519241921"/>
      </top>
      <bottom style="thin">
        <color theme="4" tint="0.39997558519241921"/>
      </bottom>
      <diagonal style="none"/>
    </border>
    <border>
      <left style="none"/>
      <right style="none"/>
      <top style="none"/>
      <bottom style="thin">
        <color theme="4" tint="0.39997558519241921"/>
      </bottom>
      <diagonal style="none"/>
    </border>
    <border>
      <left style="none"/>
      <right style="none"/>
      <top style="none"/>
      <bottom style="thin">
        <color theme="1"/>
      </bottom>
      <diagonal style="none"/>
    </border>
    <border>
      <left style="none"/>
      <right style="none"/>
      <top style="thin">
        <color theme="4" tint="0.39997558519241921"/>
      </top>
      <bottom style="thin">
        <color theme="1"/>
      </bottom>
      <diagonal style="none"/>
    </border>
    <border>
      <left style="none"/>
      <right style="none"/>
      <top style="thin">
        <color theme="1"/>
      </top>
      <bottom style="thin">
        <color theme="1"/>
      </bottom>
      <diagonal style="none"/>
    </border>
    <border>
      <left style="none"/>
      <right style="thin">
        <color theme="1"/>
      </right>
      <top style="thin">
        <color theme="1"/>
      </top>
      <bottom style="thin">
        <color theme="1"/>
      </bottom>
      <diagonal style="none"/>
    </border>
    <border>
      <left style="thin">
        <color theme="1"/>
      </left>
      <right style="none"/>
      <top style="thin">
        <color theme="1"/>
      </top>
      <bottom style="none"/>
      <diagonal style="none"/>
    </border>
    <border>
      <left style="none"/>
      <right style="none"/>
      <top style="thin">
        <color theme="1"/>
      </top>
      <bottom style="none"/>
      <diagonal style="none"/>
    </border>
    <border>
      <left style="none"/>
      <right style="thin">
        <color theme="1"/>
      </right>
      <top style="thin">
        <color theme="1"/>
      </top>
      <bottom style="none"/>
      <diagonal style="none"/>
    </border>
    <border>
      <left style="thin">
        <color theme="1"/>
      </left>
      <right style="none"/>
      <top style="none"/>
      <bottom style="none"/>
      <diagonal style="none"/>
    </border>
    <border>
      <left style="none"/>
      <right style="thin">
        <color theme="1"/>
      </right>
      <top style="none"/>
      <bottom style="none"/>
      <diagonal style="none"/>
    </border>
    <border>
      <left style="thin">
        <color theme="1"/>
      </left>
      <right style="none"/>
      <top style="none"/>
      <bottom style="thin">
        <color theme="1"/>
      </bottom>
      <diagonal style="none"/>
    </border>
    <border>
      <left style="none"/>
      <right style="thin">
        <color theme="1"/>
      </right>
      <top style="none"/>
      <bottom style="thin">
        <color theme="1"/>
      </bottom>
      <diagonal style="none"/>
    </border>
  </borders>
  <cellStyleXfs count="1">
    <xf fontId="0" fillId="0" borderId="0" numFmtId="0" applyNumberFormat="1" applyFont="1" applyFill="1" applyBorder="1"/>
  </cellStyleXfs>
  <cellXfs count="115">
    <xf fontId="0" fillId="0" borderId="0" numFmtId="0" xfId="0"/>
    <xf fontId="1" fillId="2" borderId="1" numFmtId="0" xfId="0" applyFont="1" applyFill="1" applyBorder="1"/>
    <xf fontId="0" fillId="3" borderId="0" numFmtId="0" xfId="0" applyFill="1"/>
    <xf fontId="2" fillId="4" borderId="0" numFmtId="0" xfId="0" applyFont="1" applyFill="1"/>
    <xf fontId="2" fillId="5" borderId="0" numFmtId="0" xfId="0" applyFont="1" applyFill="1"/>
    <xf fontId="0" fillId="3" borderId="0" numFmtId="0" xfId="0" applyFill="1" applyAlignment="1">
      <alignment wrapText="1"/>
    </xf>
    <xf fontId="0" fillId="3" borderId="0" numFmtId="0" xfId="0" applyFill="1"/>
    <xf fontId="1" fillId="2" borderId="2" numFmtId="0" xfId="0" applyFont="1" applyFill="1" applyBorder="1"/>
    <xf fontId="1" fillId="2" borderId="2" numFmtId="0" xfId="0" applyFont="1" applyFill="1" applyBorder="1"/>
    <xf fontId="2" fillId="4" borderId="3" numFmtId="0" xfId="0" applyFont="1" applyFill="1" applyBorder="1"/>
    <xf fontId="2" fillId="4" borderId="3" numFmtId="0" xfId="0" applyFont="1" applyFill="1" applyBorder="1"/>
    <xf fontId="2" fillId="5" borderId="4" numFmtId="0" xfId="0" applyFont="1" applyFill="1" applyBorder="1"/>
    <xf fontId="2" fillId="5" borderId="4" numFmtId="0" xfId="0" applyFont="1" applyFill="1" applyBorder="1"/>
    <xf fontId="2" fillId="4" borderId="4" numFmtId="0" xfId="0" applyFont="1" applyFill="1" applyBorder="1"/>
    <xf fontId="2" fillId="4" borderId="4" numFmtId="0" xfId="0" applyFont="1" applyFill="1" applyBorder="1"/>
    <xf fontId="0" fillId="3" borderId="4" numFmtId="0" xfId="0" applyFill="1" applyBorder="1"/>
    <xf fontId="2" fillId="4" borderId="5" numFmtId="0" xfId="0" applyFont="1" applyFill="1" applyBorder="1"/>
    <xf fontId="2" fillId="6" borderId="5" numFmtId="0" xfId="0" applyFont="1" applyFill="1" applyBorder="1"/>
    <xf fontId="1" fillId="2" borderId="4" numFmtId="0" xfId="0" applyFont="1" applyFill="1" applyBorder="1"/>
    <xf fontId="0" fillId="0" borderId="0" numFmtId="0" xfId="0">
      <protection hidden="0" locked="1"/>
    </xf>
    <xf fontId="0" fillId="0" borderId="0" numFmtId="0" xfId="0">
      <protection hidden="0" locked="1"/>
    </xf>
    <xf fontId="0" fillId="7" borderId="0" numFmtId="0" xfId="0" applyFill="1" applyAlignment="1">
      <alignment horizontal="center" wrapText="1"/>
    </xf>
    <xf fontId="0" fillId="7" borderId="0" numFmtId="0" xfId="0" applyFill="1" applyAlignment="1">
      <alignment horizontal="center"/>
    </xf>
    <xf fontId="0" fillId="3" borderId="0" numFmtId="0" xfId="0" applyFill="1"/>
    <xf fontId="3" fillId="2" borderId="6" numFmtId="0" xfId="0" applyFont="1" applyFill="1" applyBorder="1">
      <protection hidden="0" locked="1"/>
    </xf>
    <xf fontId="4" fillId="4" borderId="0" numFmtId="0" xfId="0" applyFont="1" applyFill="1">
      <protection hidden="0" locked="1"/>
    </xf>
    <xf fontId="4" fillId="5" borderId="0" numFmtId="0" xfId="0" applyFont="1" applyFill="1">
      <protection hidden="0" locked="1"/>
    </xf>
    <xf fontId="4" fillId="3" borderId="0" numFmtId="0" xfId="0" applyFont="1" applyFill="1">
      <protection hidden="0" locked="1"/>
    </xf>
    <xf fontId="0" fillId="0" borderId="0" numFmtId="0" xfId="0" applyAlignment="1">
      <alignment horizontal="center" vertical="top" wrapText="1"/>
    </xf>
    <xf fontId="0" fillId="0" borderId="0" numFmtId="0" xfId="0" applyAlignment="1">
      <alignment horizontal="center" vertical="top"/>
    </xf>
    <xf fontId="0" fillId="8" borderId="0" numFmtId="0" xfId="0" applyFill="1" applyAlignment="1">
      <alignment horizontal="center"/>
    </xf>
    <xf fontId="0" fillId="8" borderId="0" numFmtId="0" xfId="0" applyFill="1" applyAlignment="1">
      <alignment horizontal="center"/>
    </xf>
    <xf fontId="0" fillId="8" borderId="0" numFmtId="0" xfId="0" applyFill="1"/>
    <xf fontId="0" fillId="8" borderId="0" numFmtId="0" xfId="0" applyFill="1"/>
    <xf fontId="0" fillId="3" borderId="0" numFmtId="0" xfId="0" applyFill="1">
      <protection hidden="0" locked="1"/>
    </xf>
    <xf fontId="5" fillId="4" borderId="0" numFmtId="0" xfId="0" applyFont="1" applyFill="1" applyAlignment="1">
      <alignment horizontal="center"/>
      <protection hidden="0" locked="1"/>
    </xf>
    <xf fontId="0" fillId="0" borderId="0" numFmtId="0" xfId="0"/>
    <xf fontId="0" fillId="9" borderId="0" numFmtId="0" xfId="0" applyFill="1"/>
    <xf fontId="5" fillId="3" borderId="0" numFmtId="0" xfId="0" applyFont="1" applyFill="1" applyAlignment="1">
      <alignment horizontal="center"/>
    </xf>
    <xf fontId="0" fillId="2" borderId="0" numFmtId="0" xfId="0" applyFill="1"/>
    <xf fontId="0" fillId="2" borderId="0" numFmtId="0" xfId="0" applyFill="1">
      <protection hidden="0" locked="1"/>
    </xf>
    <xf fontId="0" fillId="4" borderId="0" numFmtId="0" xfId="0" applyFill="1">
      <protection hidden="0" locked="1"/>
    </xf>
    <xf fontId="2" fillId="4" borderId="0" numFmtId="0" xfId="0" applyFont="1" applyFill="1"/>
    <xf fontId="0" fillId="5" borderId="0" numFmtId="0" xfId="0" applyFill="1">
      <protection hidden="0" locked="1"/>
    </xf>
    <xf fontId="2" fillId="5" borderId="0" numFmtId="0" xfId="0" applyFont="1" applyFill="1"/>
    <xf fontId="0" fillId="8" borderId="0" numFmtId="0" xfId="0" applyFill="1" applyAlignment="1">
      <alignment horizontal="center" wrapText="1"/>
    </xf>
    <xf fontId="0" fillId="8" borderId="0" numFmtId="0" xfId="0" applyFill="1" applyAlignment="1">
      <alignment horizontal="center" wrapText="1"/>
    </xf>
    <xf fontId="0" fillId="8" borderId="4" numFmtId="0" xfId="0" applyFill="1" applyBorder="1" applyAlignment="1">
      <alignment horizontal="center"/>
    </xf>
    <xf fontId="0" fillId="8" borderId="4" numFmtId="0" xfId="0" applyFill="1" applyBorder="1" applyAlignment="1">
      <alignment horizontal="center"/>
    </xf>
    <xf fontId="0" fillId="0" borderId="4" numFmtId="0" xfId="0" applyBorder="1"/>
    <xf fontId="0" fillId="0" borderId="7" numFmtId="0" xfId="0" applyBorder="1"/>
    <xf fontId="0" fillId="0" borderId="8" numFmtId="0" xfId="0" applyBorder="1"/>
    <xf fontId="0" fillId="3" borderId="9" numFmtId="0" xfId="0" applyFill="1" applyBorder="1"/>
    <xf fontId="0" fillId="3" borderId="10" numFmtId="0" xfId="0" applyFill="1" applyBorder="1"/>
    <xf fontId="0" fillId="0" borderId="4" numFmtId="0" xfId="0" applyBorder="1"/>
    <xf fontId="6" fillId="0" borderId="4" numFmtId="0" xfId="0" applyFont="1" applyBorder="1"/>
    <xf fontId="6" fillId="0" borderId="11" numFmtId="0" xfId="0" applyFont="1" applyBorder="1" applyAlignment="1">
      <alignment horizontal="center" wrapText="1"/>
    </xf>
    <xf fontId="6" fillId="0" borderId="12" numFmtId="0" xfId="0" applyFont="1" applyBorder="1" applyAlignment="1">
      <alignment horizontal="center"/>
    </xf>
    <xf fontId="1" fillId="10" borderId="13" numFmtId="0" xfId="0" applyFont="1" applyFill="1" applyBorder="1">
      <protection hidden="0" locked="1"/>
    </xf>
    <xf fontId="1" fillId="10" borderId="14" numFmtId="0" xfId="0" applyFont="1" applyFill="1" applyBorder="1">
      <protection hidden="0" locked="1"/>
    </xf>
    <xf fontId="1" fillId="10" borderId="14" numFmtId="0" xfId="0" applyFont="1" applyFill="1" applyBorder="1"/>
    <xf fontId="7" fillId="11" borderId="13" numFmtId="0" xfId="0" applyFont="1" applyFill="1" applyBorder="1">
      <protection hidden="0" locked="1"/>
    </xf>
    <xf fontId="7" fillId="11" borderId="14" numFmtId="0" xfId="0" applyFont="1" applyFill="1" applyBorder="1">
      <protection hidden="0" locked="1"/>
    </xf>
    <xf fontId="7" fillId="11" borderId="15" numFmtId="0" xfId="0" applyFont="1" applyFill="1" applyBorder="1"/>
    <xf fontId="0" fillId="12" borderId="16" numFmtId="0" xfId="0" applyFill="1" applyBorder="1"/>
    <xf fontId="0" fillId="11" borderId="13" numFmtId="0" xfId="0" applyFill="1" applyBorder="1"/>
    <xf fontId="0" fillId="11" borderId="15" numFmtId="0" xfId="0" applyFill="1" applyBorder="1"/>
    <xf fontId="7" fillId="0" borderId="13" numFmtId="0" xfId="0" applyFont="1" applyBorder="1"/>
    <xf fontId="7" fillId="0" borderId="14" numFmtId="0" xfId="0" applyFont="1" applyBorder="1"/>
    <xf fontId="0" fillId="0" borderId="14" numFmtId="0" xfId="0" applyBorder="1">
      <protection hidden="0" locked="1"/>
    </xf>
    <xf fontId="0" fillId="0" borderId="14" numFmtId="0" xfId="0" applyBorder="1"/>
    <xf fontId="7" fillId="11" borderId="13" numFmtId="0" xfId="0" applyFont="1" applyFill="1" applyBorder="1"/>
    <xf fontId="7" fillId="11" borderId="14" numFmtId="0" xfId="0" applyFont="1" applyFill="1" applyBorder="1"/>
    <xf fontId="0" fillId="0" borderId="0" numFmtId="0" xfId="0" applyAlignment="1">
      <alignment horizontal="center"/>
    </xf>
    <xf fontId="0" fillId="0" borderId="0" numFmtId="0" xfId="0" applyAlignment="1">
      <alignment horizontal="center"/>
    </xf>
    <xf fontId="0" fillId="0" borderId="17" numFmtId="0" xfId="0" applyBorder="1"/>
    <xf fontId="7" fillId="0" borderId="14" numFmtId="0" xfId="0" applyFont="1" applyBorder="1">
      <protection hidden="0" locked="1"/>
    </xf>
    <xf fontId="0" fillId="3" borderId="18" numFmtId="0" xfId="0" applyFill="1" applyBorder="1">
      <protection hidden="0" locked="1"/>
    </xf>
    <xf fontId="0" fillId="3" borderId="19" numFmtId="0" xfId="0" applyFill="1" applyBorder="1">
      <protection hidden="0" locked="1"/>
    </xf>
    <xf fontId="0" fillId="0" borderId="7" numFmtId="0" xfId="0" applyBorder="1" applyAlignment="1">
      <alignment horizontal="center"/>
    </xf>
    <xf fontId="0" fillId="0" borderId="0" numFmtId="0" xfId="0" applyAlignment="1">
      <alignment horizontal="center"/>
    </xf>
    <xf fontId="1" fillId="13" borderId="13" numFmtId="0" xfId="0" applyFont="1" applyFill="1" applyBorder="1">
      <protection hidden="0" locked="1"/>
    </xf>
    <xf fontId="7" fillId="14" borderId="13" numFmtId="0" xfId="0" applyFont="1" applyFill="1" applyBorder="1">
      <protection hidden="0" locked="1"/>
    </xf>
    <xf fontId="7" fillId="7" borderId="13" numFmtId="0" xfId="0" applyFont="1" applyFill="1" applyBorder="1"/>
    <xf fontId="7" fillId="14" borderId="13" numFmtId="0" xfId="0" applyFont="1" applyFill="1" applyBorder="1"/>
    <xf fontId="8" fillId="8" borderId="0" numFmtId="0" xfId="0" applyFont="1" applyFill="1" applyAlignment="1">
      <alignment horizontal="right" vertical="center" wrapText="1"/>
    </xf>
    <xf fontId="9" fillId="8" borderId="0" numFmtId="0" xfId="0" applyFont="1" applyFill="1" applyAlignment="1">
      <alignment horizontal="right" vertical="center" wrapText="1"/>
    </xf>
    <xf fontId="0" fillId="8" borderId="0" numFmtId="0" xfId="0" applyFill="1"/>
    <xf fontId="0" fillId="8" borderId="0" numFmtId="0" xfId="0" applyFill="1"/>
    <xf fontId="0" fillId="0" borderId="0" numFmtId="0" xfId="0" applyAlignment="1">
      <alignment horizontal="center"/>
    </xf>
    <xf fontId="0" fillId="0" borderId="7" numFmtId="0" xfId="0" applyBorder="1" applyAlignment="1">
      <alignment horizontal="right"/>
    </xf>
    <xf fontId="0" fillId="0" borderId="20" numFmtId="0" xfId="0" applyBorder="1" applyAlignment="1">
      <alignment horizontal="right"/>
    </xf>
    <xf fontId="0" fillId="0" borderId="20" numFmtId="0" xfId="0" applyBorder="1"/>
    <xf fontId="0" fillId="0" borderId="21" numFmtId="0" xfId="0" applyBorder="1"/>
    <xf fontId="10" fillId="0" borderId="0" numFmtId="0" xfId="0" applyFont="1">
      <protection hidden="0" locked="1"/>
    </xf>
    <xf fontId="11" fillId="0" borderId="0" numFmtId="0" xfId="0" applyFont="1">
      <protection hidden="0" locked="1"/>
    </xf>
    <xf fontId="12" fillId="0" borderId="0" numFmtId="0" xfId="0" applyFont="1">
      <protection hidden="0" locked="1"/>
    </xf>
    <xf fontId="0" fillId="0" borderId="0" numFmtId="0" xfId="0" applyAlignment="1">
      <alignment horizontal="center" wrapText="1"/>
    </xf>
    <xf fontId="13" fillId="0" borderId="0" numFmtId="0" xfId="0" applyFont="1"/>
    <xf fontId="0" fillId="0" borderId="0" numFmtId="0" xfId="0" applyAlignment="1">
      <alignment horizontal="left"/>
    </xf>
    <xf fontId="0" fillId="3" borderId="22" numFmtId="0" xfId="0" applyFill="1" applyBorder="1"/>
    <xf fontId="0" fillId="3" borderId="23" numFmtId="0" xfId="0" applyFill="1" applyBorder="1"/>
    <xf fontId="0" fillId="3" borderId="24" numFmtId="0" xfId="0" applyFill="1" applyBorder="1"/>
    <xf fontId="0" fillId="3" borderId="25" numFmtId="0" xfId="0" applyFill="1" applyBorder="1"/>
    <xf fontId="0" fillId="3" borderId="26" numFmtId="0" xfId="0" applyFill="1" applyBorder="1"/>
    <xf fontId="0" fillId="3" borderId="27" numFmtId="0" xfId="0" applyFill="1" applyBorder="1"/>
    <xf fontId="0" fillId="3" borderId="18" numFmtId="0" xfId="0" applyFill="1" applyBorder="1"/>
    <xf fontId="0" fillId="3" borderId="28" numFmtId="0" xfId="0" applyFill="1" applyBorder="1"/>
    <xf fontId="14" fillId="0" borderId="0" numFmtId="0" xfId="0" applyFont="1">
      <protection hidden="0" locked="1"/>
    </xf>
    <xf fontId="5" fillId="0" borderId="0" numFmtId="0" xfId="0" applyFont="1">
      <protection hidden="0" locked="1"/>
    </xf>
    <xf fontId="0" fillId="15" borderId="0" numFmtId="0" xfId="0" applyFill="1">
      <protection hidden="0" locked="1"/>
    </xf>
    <xf fontId="15" fillId="0" borderId="0" numFmtId="0" xfId="0" applyFont="1" applyAlignment="1">
      <alignment horizontal="center"/>
    </xf>
    <xf fontId="15" fillId="0" borderId="0" numFmtId="0" xfId="0" applyFont="1"/>
    <xf fontId="16" fillId="0" borderId="0" numFmtId="0" xfId="0" applyFont="1" applyAlignment="1">
      <alignment horizontal="center" vertical="top" wrapText="1"/>
    </xf>
    <xf fontId="15" fillId="0" borderId="0" numFmtId="0" xfId="0" applyFont="1">
      <protection hidden="0" locked="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le19" ref="$A$1:$F$10">
  <autoFilter ref="$A$1:$F$10"/>
  <tableColumns count="6">
    <tableColumn id="1" name=" r i/rw world_address"/>
    <tableColumn id="2" name=" r i/r  blob_array_address"/>
    <tableColumn id="3" name=" r o/rw blob_element_address"/>
    <tableColumn id="4" name=" r i/r data_storage_index"/>
    <tableColumn id="5" name=" r l/r total_size"/>
    <tableColumn id="6" name=" r o/w data_size"/>
  </tableColumns>
  <tableStyleInfo name="TableStyleDark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le20" ref="$A$12:$D$16">
  <autoFilter ref="$A$12:$D$16"/>
  <tableColumns count="4">
    <tableColumn id="1" name="Offset 1"/>
    <tableColumn id="2" name="Offset 2"/>
    <tableColumn id="3" name="Offset 3"/>
    <tableColumn id="4" name="Offset 4"/>
  </tableColumns>
  <tableStyleInfo name="TableStyleDark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Table21" ref="A66:N76">
  <autoFilter ref="A66:N76"/>
  <tableColumns count="14">
    <tableColumn id="1" name=" r i/r meta_data_size"/>
    <tableColumn id="2" name=" r i/r working_chunk_size"/>
    <tableColumn id="3" name=" r i/r data_capacities"/>
    <tableColumn id="4" name=" r i/r data_needed_raw_bytes"/>
    <tableColumn id="5" name=" r i/r align_raw_bytes_needed"/>
    <tableColumn id="6" name=" r i/r distributed_data_raw_bytes"/>
    <tableColumn id="7" name=" r i/r total_size"/>
    <tableColumn id="8" name=" r i/r pages_size"/>
    <tableColumn id="9" name=" r i/rw world_address"/>
    <tableColumn id="10" name=" r i/r  blob_array_address"/>
    <tableColumn id="11" name=" r o/rw blob_element_address"/>
    <tableColumn id="12" name=" r i/r data_storage_index"/>
    <tableColumn id="13" name=" r o/w current_bytes_offset"/>
    <tableColumn id="14" name=" r o/w data_size"/>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Table22" ref="$E$77:$J$81">
  <autoFilter ref="$E$77:$J$81"/>
  <tableColumns count="6">
    <tableColumn id="1" name="Data Size"/>
    <tableColumn id="2" name="Data Count"/>
    <tableColumn id="3" name="Bytes occupied"/>
    <tableColumn id="4" name="Distributed Data count"/>
    <tableColumn id="5" name="Byte occupied"/>
    <tableColumn id="6" name="Page Count"/>
  </tableColumns>
  <tableStyleInfo name="TableStyleDark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displayName="Table23" ref="$A$84:$G$88">
  <autoFilter ref="$A$84:$G$88"/>
  <tableColumns count="7">
    <tableColumn id="1" name="Data size"/>
    <tableColumn id="2" name="Number of data count "/>
    <tableColumn id="3" name="Data Count per soa"/>
    <tableColumn id="4" name="Optimal bytes needed"/>
    <tableColumn id="5" name="Delta Bytes"/>
    <tableColumn id="6" name="Page needed"/>
    <tableColumn id="7" name="Page count"/>
  </tableColumns>
  <tableStyleInfo name="TableStyleDark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displayName="Table24" ref="$I$84:$O$88">
  <autoFilter ref="$I$84:$O$88"/>
  <tableColumns count="7">
    <tableColumn id="1" name="Data size"/>
    <tableColumn id="2" name="Number of data count"/>
    <tableColumn id="3" name="Data Count per soa core"/>
    <tableColumn id="4" name="Optimal bytes needed"/>
    <tableColumn id="5" name="Delta"/>
    <tableColumn id="6" name="Page needed"/>
    <tableColumn id="7" name="Page count"/>
  </tableColumns>
  <tableStyleInfo name="TableStyleDark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displayName="Table25" ref="I105:O109">
  <autoFilter ref="I105:O109"/>
  <tableColumns count="7">
    <tableColumn id="1" name="Data size"/>
    <tableColumn id="2" name="Number of data count"/>
    <tableColumn id="3" name="Data Count per soa core"/>
    <tableColumn id="4" name="Optimal bytes needed"/>
    <tableColumn id="5" name="Delta"/>
    <tableColumn id="6" name="Page needed"/>
    <tableColumn id="7" name="Page count"/>
  </tableColumns>
  <tableStyleInfo name="TableStyleDark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displayName="Table28" ref="A105:G109">
  <autoFilter ref="A105:G109"/>
  <tableColumns count="7">
    <tableColumn id="1" name="Data size"/>
    <tableColumn id="2" name="Number of data count "/>
    <tableColumn id="3" name="Data Count per soa"/>
    <tableColumn id="4" name="Optimal bytes needed"/>
    <tableColumn id="5" name="Delta Bytes"/>
    <tableColumn id="6" name="Page needed"/>
    <tableColumn id="7" name="Page count"/>
  </tableColumns>
  <tableStyleInfo name="TableStyleDark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displayName="Table31" ref="E125:L135">
  <autoFilter ref="E125:L135"/>
  <tableColumns count="8">
    <tableColumn id="1" name="Size (Bytes)"/>
    <tableColumn id="2" name="Usage (Hot, Cold)"/>
    <tableColumn id="3" name="Access Index (0 = frequent)"/>
    <tableColumn id="4" name="Importance (0 = important)"/>
    <tableColumn id="5" name="Usage count"/>
    <tableColumn id="6" name="Usage type (Read, Write, Read/Write)"/>
    <tableColumn id="7" name="Description"/>
    <tableColumn id="8" name="Column1"/>
  </tableColumns>
  <tableStyleInfo name="TableStyleDark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displayName="Table32" ref="$F$161:$K$165">
  <autoFilter ref="$F$161:$K$165"/>
  <tableColumns count="6">
    <tableColumn id="1" name="Indices capacity"/>
    <tableColumn id="2" name="Indice byte size"/>
    <tableColumn id="3" name="Page count"/>
    <tableColumn id="4" name="Indice byte size2"/>
    <tableColumn id="5" name="Page count3"/>
    <tableColumn id="6" name="Difference Page count"/>
  </tableColumns>
  <tableStyleInfo name="TableStyleDark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displayName="Table33" ref="$H$167:$J$172">
  <autoFilter ref="$H$167:$J$172"/>
  <tableColumns count="3">
    <tableColumn id="1" name="Distributed Page count"/>
    <tableColumn id="2" name="Difference"/>
    <tableColumn id="3" name="Difference3"/>
  </tableColumns>
  <tableStyleInfo name="TableStyleDark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displayName="Table34" ref="F188:K192">
  <autoFilter ref="F188:K192"/>
  <tableColumns count="6">
    <tableColumn id="1" name=" r i/r data_capacity"/>
    <tableColumn id="2" name=" r i/r dist data_capacity"/>
    <tableColumn id="3" name=" r i/r indice_frag_capacity"/>
    <tableColumn id="4" name=" r l/r indices_frag_raw_bytes"/>
    <tableColumn id="5" name=" r l/r total_size"/>
    <tableColumn id="6" name="Page size"/>
  </tableColumns>
  <tableStyleInfo name="TableStyleDark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displayName="Table35" ref="$E$214:$J$218">
  <autoFilter ref="$E$214:$J$218"/>
  <tableColumns count="6">
    <tableColumn id="1" name="r i/r data_size"/>
    <tableColumn id="2" name=" r i/r data_capacity"/>
    <tableColumn id="3" name=" r i/r data_capacity * core_count"/>
    <tableColumn id="4" name="indices_cap"/>
    <tableColumn id="5" name="total_byte_size_needed"/>
    <tableColumn id="6" name="page count"/>
  </tableColumns>
  <tableStyleInfo name="TableStyleDark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displayName="Table9" ref="B1:E6">
  <autoFilter ref="B1:E6"/>
  <tableColumns count="4">
    <tableColumn id="1" name="l/rw world_address"/>
    <tableColumn id="2" name=" l/r indice_count"/>
    <tableColumn id="3" name=" l/rw previous_indices_count"/>
    <tableColumn id="4" name=" l/rw indices_count"/>
  </tableColumns>
  <tableStyleInfo name="TableStyleDark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displayName="Table13" ref="A1:K9">
  <autoFilter ref="A1:K9"/>
  <tableColumns count="11">
    <tableColumn id="1" name="i/rw world_address"/>
    <tableColumn id="2" name=" i/r blob_index"/>
    <tableColumn id="3" name=" i/r indices_address"/>
    <tableColumn id="4" name=" i/r indices_length"/>
    <tableColumn id="5" name=" i/r indices_element"/>
    <tableColumn id="6" name=" l/rw blob_address"/>
    <tableColumn id="7" name=" l/r blob_indice_offset"/>
    <tableColumn id="8" name=" total_indice_offset"/>
    <tableColumn id="9" name=" total_data_offset"/>
    <tableColumn id="10" name=" rw blob_current_indices_frag_byte_offset"/>
    <tableColumn id="11" name=" rw blob_current_data_byte_offset"/>
  </tableColumns>
  <tableStyleInfo name="TableStyleDark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displayName="Table15" ref="D53:G57">
  <autoFilter ref="D53:G57"/>
  <tableColumns count="4">
    <tableColumn id="1" name="blob_indice_offset"/>
    <tableColumn id="2" name="1540"/>
    <tableColumn id="3" name="1924"/>
    <tableColumn id="4" name="2692"/>
  </tableColumns>
  <tableStyleInfo name="TableStyleDark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displayName="Table16" ref="$E$90:$H$95">
  <autoFilter ref="$E$90:$H$95"/>
  <tableColumns count="4">
    <tableColumn id="1" name="Blob_Address (Indices)"/>
    <tableColumn id="2" name="Blob_Address (Origin)"/>
    <tableColumn id="3" name="Page_Number"/>
    <tableColumn id="4" name="Offset"/>
  </tableColumns>
  <tableStyleInfo name="TableStyleDark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displayName="Table4" ref="A1:P6">
  <autoFilter ref="A1:P6"/>
  <tableColumns count="16">
    <tableColumn id="1" name="i/rw world_address"/>
    <tableColumn id="2" name=" i/r blob_index"/>
    <tableColumn id="3" name=" i/w intersect_buffer"/>
    <tableColumn id="4" name=" i/r intersect_indice"/>
    <tableColumn id="5" name=" l/r intersect_indice_begin"/>
    <tableColumn id="6" name=" l/r intersect_indice_end"/>
    <tableColumn id="7" name=" l/rw blob_address"/>
    <tableColumn id="8" name=" l/rw blob_indice_address"/>
    <tableColumn id="9" name=" l/r blob_indice_begin"/>
    <tableColumn id="10" name=" l/r blob_indice_end"/>
    <tableColumn id="11" name=" l/r indices.start &lt; blob_indices.end"/>
    <tableColumn id="12" name=" l/r blob_indices.start &lt; indices.end"/>
    <tableColumn id="13" name=" l/rw intersect_begin"/>
    <tableColumn id="14" name=" l/rw intersect_end"/>
    <tableColumn id="15" name=" l/w intersect"/>
    <tableColumn id="16" name=" l/rw intersect_count"/>
  </tableColumns>
  <tableStyleInfo name="TableStyleDark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displayName="Table5" ref="B10:D13">
  <autoFilter ref="B10:D13"/>
  <tableColumns count="3">
    <tableColumn id="1" name="intersect_buffer_offset"/>
    <tableColumn id="2" name="blob_offset"/>
    <tableColumn id="3" name="blob_indice_offset"/>
  </tableColumns>
  <tableStyleInfo name="TableStyleDark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displayName="Table6" ref="A10:A13">
  <autoFilter ref="A10:A13"/>
  <tableColumns count="1">
    <tableColumn id="1" name="world_offset"/>
  </tableColumns>
  <tableStyleInfo name="TableStyleDark1"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_rels/sheet3.xml.rels><?xml version="1.0" encoding="UTF-8" standalone="yes"?><Relationships xmlns="http://schemas.openxmlformats.org/package/2006/relationships"><Relationship  Id="rId1" Type="http://schemas.openxmlformats.org/officeDocument/2006/relationships/table" Target="../tables/table1.xml"/><Relationship  Id="rId10" Type="http://schemas.openxmlformats.org/officeDocument/2006/relationships/table" Target="../tables/table10.xml"/><Relationship  Id="rId11" Type="http://schemas.openxmlformats.org/officeDocument/2006/relationships/table" Target="../tables/table11.xml"/><Relationship  Id="rId12" Type="http://schemas.openxmlformats.org/officeDocument/2006/relationships/table" Target="../tables/table12.xml"/><Relationship  Id="rId13" Type="http://schemas.openxmlformats.org/officeDocument/2006/relationships/table" Target="../tables/table13.xml"/><Relationship  Id="rId2" Type="http://schemas.openxmlformats.org/officeDocument/2006/relationships/table" Target="../tables/table2.xml"/><Relationship  Id="rId3" Type="http://schemas.openxmlformats.org/officeDocument/2006/relationships/table" Target="../tables/table3.xml"/><Relationship  Id="rId4" Type="http://schemas.openxmlformats.org/officeDocument/2006/relationships/table" Target="../tables/table4.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  Id="rId9" Type="http://schemas.openxmlformats.org/officeDocument/2006/relationships/table" Target="../tables/table9.xml"/></Relationships>
</file>

<file path=xl/worksheets/_rels/sheet4.xml.rels><?xml version="1.0" encoding="UTF-8" standalone="yes"?><Relationships xmlns="http://schemas.openxmlformats.org/package/2006/relationships"><Relationship  Id="rId1" Type="http://schemas.openxmlformats.org/officeDocument/2006/relationships/table" Target="../tables/table14.xml"/></Relationships>
</file>

<file path=xl/worksheets/_rels/sheet5.xml.rels><?xml version="1.0" encoding="UTF-8" standalone="yes"?><Relationships xmlns="http://schemas.openxmlformats.org/package/2006/relationships"><Relationship  Id="rId1" Type="http://schemas.openxmlformats.org/officeDocument/2006/relationships/table" Target="../tables/table15.xml"/><Relationship  Id="rId2" Type="http://schemas.openxmlformats.org/officeDocument/2006/relationships/table" Target="../tables/table16.xml"/><Relationship  Id="rId3" Type="http://schemas.openxmlformats.org/officeDocument/2006/relationships/table" Target="../tables/table17.xml"/></Relationships>
</file>

<file path=xl/worksheets/_rels/sheet6.xml.rels><?xml version="1.0" encoding="UTF-8" standalone="yes"?><Relationships xmlns="http://schemas.openxmlformats.org/package/2006/relationships"><Relationship  Id="rId1" Type="http://schemas.openxmlformats.org/officeDocument/2006/relationships/table" Target="../tables/table18.xml"/><Relationship  Id="rId2" Type="http://schemas.openxmlformats.org/officeDocument/2006/relationships/table" Target="../tables/table19.xml"/><Relationship  Id="rId3"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9" defaultRowHeight="15"/>
  <sheetData>
    <row r="1">
      <c r="A1" t="s">
        <v>0</v>
      </c>
      <c r="B1" t="s">
        <v>1</v>
      </c>
      <c r="C1" t="s">
        <v>2</v>
      </c>
      <c r="D1" t="s">
        <v>3</v>
      </c>
      <c r="E1" t="s">
        <v>4</v>
      </c>
      <c r="F1" t="s">
        <v>5</v>
      </c>
      <c r="G1" t="s">
        <v>6</v>
      </c>
      <c r="H1" t="s">
        <v>7</v>
      </c>
      <c r="I1" t="s">
        <v>8</v>
      </c>
      <c r="J1" t="s">
        <v>9</v>
      </c>
    </row>
    <row r="2">
      <c r="A2">
        <v>900</v>
      </c>
      <c r="B2">
        <v>30</v>
      </c>
      <c r="C2">
        <v>960</v>
      </c>
      <c r="D2">
        <v>908</v>
      </c>
      <c r="E2">
        <v>4096</v>
      </c>
      <c r="F2">
        <v>4096</v>
      </c>
      <c r="G2">
        <v>140224986017792</v>
      </c>
      <c r="H2">
        <v>140224986013696</v>
      </c>
      <c r="I2">
        <v>140724398210952</v>
      </c>
    </row>
    <row r="3">
      <c r="A3">
        <v>100</v>
      </c>
      <c r="B3">
        <v>57</v>
      </c>
      <c r="C3">
        <v>1824</v>
      </c>
      <c r="D3">
        <v>108</v>
      </c>
      <c r="E3">
        <v>4096</v>
      </c>
      <c r="F3">
        <v>4096</v>
      </c>
      <c r="G3">
        <v>140224986009600</v>
      </c>
      <c r="H3">
        <v>140224986005504</v>
      </c>
      <c r="I3">
        <v>140724398210952</v>
      </c>
    </row>
    <row r="4">
      <c r="A4">
        <v>575</v>
      </c>
      <c r="B4">
        <v>123</v>
      </c>
      <c r="C4">
        <v>3936</v>
      </c>
      <c r="D4">
        <v>583</v>
      </c>
      <c r="E4">
        <v>4096</v>
      </c>
      <c r="F4">
        <v>4096</v>
      </c>
      <c r="G4">
        <v>140224986001408</v>
      </c>
      <c r="H4">
        <v>140224985997312</v>
      </c>
      <c r="I4">
        <v>140724398210952</v>
      </c>
    </row>
    <row r="5">
      <c r="A5">
        <v>236</v>
      </c>
      <c r="B5">
        <v>353</v>
      </c>
      <c r="C5">
        <v>11296</v>
      </c>
      <c r="D5">
        <v>244</v>
      </c>
      <c r="E5">
        <v>12288</v>
      </c>
      <c r="F5">
        <v>4096</v>
      </c>
      <c r="G5">
        <v>140224985985024</v>
      </c>
      <c r="H5">
        <v>140224985980928</v>
      </c>
      <c r="I5">
        <v>140724398210952</v>
      </c>
    </row>
    <row r="6">
      <c r="A6">
        <v>345</v>
      </c>
      <c r="B6">
        <v>512</v>
      </c>
      <c r="C6">
        <v>16384</v>
      </c>
      <c r="D6">
        <v>353</v>
      </c>
      <c r="E6">
        <v>16384</v>
      </c>
      <c r="F6">
        <v>4096</v>
      </c>
      <c r="G6">
        <v>140224985964544</v>
      </c>
      <c r="H6">
        <v>140224985960448</v>
      </c>
      <c r="I6">
        <v>140724398210952</v>
      </c>
    </row>
    <row r="7">
      <c r="A7">
        <v>1</v>
      </c>
      <c r="B7">
        <v>2</v>
      </c>
      <c r="C7">
        <v>64</v>
      </c>
      <c r="D7">
        <v>9</v>
      </c>
      <c r="E7">
        <v>4096</v>
      </c>
      <c r="F7">
        <v>4096</v>
      </c>
      <c r="G7">
        <v>140224985956352</v>
      </c>
      <c r="H7">
        <v>140224985952256</v>
      </c>
      <c r="I7">
        <v>140724398210952</v>
      </c>
    </row>
    <row r="8">
      <c r="A8">
        <v>53</v>
      </c>
      <c r="B8">
        <v>24</v>
      </c>
      <c r="C8">
        <v>768</v>
      </c>
      <c r="D8">
        <v>61</v>
      </c>
      <c r="E8">
        <v>4096</v>
      </c>
      <c r="F8">
        <v>4096</v>
      </c>
      <c r="G8">
        <v>140224985948160</v>
      </c>
      <c r="H8">
        <v>140224985944064</v>
      </c>
      <c r="I8">
        <v>140724398210952</v>
      </c>
    </row>
    <row r="9">
      <c r="A9">
        <v>999</v>
      </c>
      <c r="B9">
        <v>1</v>
      </c>
      <c r="C9">
        <v>32</v>
      </c>
      <c r="D9">
        <v>1007</v>
      </c>
      <c r="E9">
        <v>4096</v>
      </c>
      <c r="F9">
        <v>4096</v>
      </c>
      <c r="G9">
        <v>140224985939968</v>
      </c>
      <c r="H9">
        <v>140224985935872</v>
      </c>
      <c r="I9">
        <v>140724398210952</v>
      </c>
    </row>
    <row r="10">
      <c r="A10">
        <v>1</v>
      </c>
      <c r="B10">
        <v>999</v>
      </c>
      <c r="C10">
        <v>31968</v>
      </c>
      <c r="D10">
        <v>9</v>
      </c>
      <c r="E10">
        <v>32768</v>
      </c>
      <c r="F10">
        <v>4096</v>
      </c>
      <c r="G10">
        <v>140224985903104</v>
      </c>
      <c r="H10">
        <v>140224985899008</v>
      </c>
      <c r="I10">
        <v>140724398210952</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3" zoomScale="100" workbookViewId="0">
      <selection activeCell="A1" activeCellId="0" sqref="A1"/>
    </sheetView>
  </sheetViews>
  <sheetFormatPr defaultRowHeight="14.25"/>
  <cols>
    <col customWidth="1" min="1" max="1" width="49.421875"/>
    <col customWidth="1" min="2" max="2" width="40.140625"/>
    <col customWidth="1" min="3" max="3" width="57.140625"/>
    <col customWidth="1" min="4" max="4" width="34.00390625"/>
    <col customWidth="1" min="5" max="5" width="40.7109375"/>
    <col customWidth="1" min="6" max="6" width="54.57421875"/>
  </cols>
  <sheetData>
    <row r="1" ht="14.25">
      <c r="A1" s="1"/>
      <c r="B1" s="1"/>
      <c r="C1" s="1"/>
      <c r="D1" s="1"/>
      <c r="E1" s="1"/>
      <c r="F1" s="1"/>
      <c r="G1" s="2"/>
      <c r="H1" s="2"/>
    </row>
    <row r="2" ht="14.25">
      <c r="A2" s="3"/>
      <c r="B2" s="3"/>
      <c r="C2" s="3"/>
      <c r="D2" s="3"/>
      <c r="E2" s="3"/>
      <c r="F2" s="3"/>
      <c r="G2" s="2"/>
      <c r="H2" s="2"/>
    </row>
    <row r="3" ht="14.25">
      <c r="A3" s="4"/>
      <c r="B3" s="4"/>
      <c r="C3" s="4"/>
      <c r="D3" s="4"/>
      <c r="E3" s="4"/>
      <c r="F3" s="4"/>
      <c r="G3" s="2"/>
      <c r="H3" s="2"/>
    </row>
    <row r="4" ht="14.25">
      <c r="A4" s="3"/>
      <c r="B4" s="3"/>
      <c r="C4" s="3"/>
      <c r="D4" s="3"/>
      <c r="E4" s="3"/>
      <c r="F4" s="3"/>
      <c r="G4" s="2"/>
      <c r="H4" s="2"/>
    </row>
    <row r="5" ht="14.25">
      <c r="A5" s="4"/>
      <c r="B5" s="4"/>
      <c r="C5" s="4"/>
      <c r="D5" s="4"/>
      <c r="E5" s="4"/>
      <c r="F5" s="4"/>
      <c r="G5" s="2"/>
      <c r="H5" s="2"/>
    </row>
    <row r="6" ht="14.25">
      <c r="A6" s="3"/>
      <c r="B6" s="3"/>
      <c r="C6" s="3"/>
      <c r="D6" s="3"/>
      <c r="E6" s="3"/>
      <c r="F6" s="3"/>
      <c r="G6" s="2"/>
      <c r="H6" s="2"/>
    </row>
    <row r="7" ht="14.25">
      <c r="A7" s="4"/>
      <c r="B7" s="4"/>
      <c r="C7" s="4"/>
      <c r="D7" s="4"/>
      <c r="E7" s="4"/>
      <c r="F7" s="4"/>
      <c r="G7" s="2"/>
      <c r="H7" s="2"/>
    </row>
    <row r="8" ht="14.25">
      <c r="A8" s="3"/>
      <c r="B8" s="3"/>
      <c r="C8" s="3"/>
      <c r="D8" s="3"/>
      <c r="E8" s="3"/>
      <c r="F8" s="3"/>
      <c r="G8" s="2"/>
      <c r="H8" s="2"/>
    </row>
    <row r="9" ht="14.25">
      <c r="A9" s="4"/>
      <c r="B9" s="4"/>
      <c r="C9" s="4"/>
      <c r="D9" s="4"/>
      <c r="E9" s="4"/>
      <c r="F9" s="4"/>
      <c r="G9" s="2"/>
      <c r="H9" s="2"/>
    </row>
    <row r="10" ht="14.25">
      <c r="A10" s="3"/>
      <c r="B10" s="3"/>
      <c r="C10" s="3"/>
      <c r="D10" s="3"/>
      <c r="E10" s="3"/>
      <c r="F10" s="3"/>
      <c r="G10" s="2"/>
      <c r="H10" s="2"/>
    </row>
    <row r="11" ht="14.25">
      <c r="A11" s="2"/>
      <c r="B11" s="2"/>
      <c r="C11" s="2"/>
      <c r="D11" s="2"/>
      <c r="E11" s="2"/>
      <c r="F11" s="2"/>
      <c r="G11" s="2"/>
      <c r="H11" s="2"/>
    </row>
    <row r="12" ht="14.25">
      <c r="A12" s="2"/>
      <c r="B12" s="2"/>
      <c r="C12" s="2"/>
      <c r="D12" s="2"/>
      <c r="E12" s="2"/>
      <c r="F12" s="2"/>
      <c r="G12" s="2"/>
      <c r="H12" s="2"/>
    </row>
    <row r="13" ht="14.25">
      <c r="A13" s="5"/>
      <c r="B13" s="6"/>
      <c r="C13" s="2"/>
      <c r="D13" s="2"/>
      <c r="E13" s="2"/>
      <c r="F13" s="2"/>
      <c r="G13" s="2"/>
      <c r="H13" s="2"/>
    </row>
    <row r="14" ht="14.25">
      <c r="A14" s="6"/>
      <c r="B14" s="6"/>
      <c r="C14" s="2"/>
      <c r="D14" s="2"/>
      <c r="E14" s="2"/>
      <c r="F14" s="2"/>
      <c r="G14" s="2"/>
      <c r="H14" s="2"/>
    </row>
    <row r="15" ht="14.25">
      <c r="A15" s="7" t="s">
        <v>1</v>
      </c>
      <c r="B15" s="7" t="s">
        <v>2</v>
      </c>
      <c r="C15" s="8" t="s">
        <v>4</v>
      </c>
      <c r="D15" s="2"/>
      <c r="E15" s="2"/>
      <c r="F15" s="2"/>
      <c r="G15" s="2"/>
      <c r="H15" s="2"/>
    </row>
    <row r="16" ht="14.25">
      <c r="A16" s="9">
        <v>30</v>
      </c>
      <c r="B16" s="9">
        <v>960</v>
      </c>
      <c r="C16" s="10">
        <v>4096</v>
      </c>
      <c r="D16" s="2"/>
      <c r="E16" s="2"/>
      <c r="F16" s="2"/>
      <c r="G16" s="2"/>
      <c r="H16" s="2"/>
    </row>
    <row r="17" ht="14.25">
      <c r="A17" s="11">
        <v>57</v>
      </c>
      <c r="B17" s="11">
        <v>1824</v>
      </c>
      <c r="C17" s="12">
        <v>4096</v>
      </c>
      <c r="D17" s="2"/>
      <c r="E17" s="2"/>
      <c r="F17" s="2"/>
      <c r="G17" s="2"/>
      <c r="H17" s="2"/>
    </row>
    <row r="18" ht="14.25">
      <c r="A18" s="13">
        <v>123</v>
      </c>
      <c r="B18" s="13">
        <v>3936</v>
      </c>
      <c r="C18" s="14">
        <v>4096</v>
      </c>
      <c r="D18" s="2"/>
      <c r="E18" s="2"/>
      <c r="F18" s="2"/>
      <c r="G18" s="2"/>
      <c r="H18" s="2"/>
    </row>
    <row r="19" ht="14.25">
      <c r="A19" s="11">
        <v>353</v>
      </c>
      <c r="B19" s="11">
        <v>11296</v>
      </c>
      <c r="C19" s="12">
        <v>12288</v>
      </c>
      <c r="D19" s="2"/>
      <c r="E19" s="2"/>
      <c r="F19" s="2"/>
      <c r="G19" s="2"/>
      <c r="H19" s="2"/>
    </row>
    <row r="20" ht="14.25">
      <c r="A20" s="13">
        <v>512</v>
      </c>
      <c r="B20" s="13">
        <v>16384</v>
      </c>
      <c r="C20" s="14">
        <v>16384</v>
      </c>
      <c r="D20" s="2"/>
      <c r="E20" s="2"/>
      <c r="F20" s="2"/>
      <c r="G20" s="2"/>
      <c r="H20" s="2"/>
    </row>
    <row r="21" ht="14.25">
      <c r="A21" s="11">
        <v>2</v>
      </c>
      <c r="B21" s="11">
        <v>64</v>
      </c>
      <c r="C21" s="12">
        <v>4096</v>
      </c>
      <c r="D21" s="2"/>
      <c r="E21" s="2"/>
      <c r="F21" s="2"/>
      <c r="G21" s="2"/>
      <c r="H21" s="2"/>
    </row>
    <row r="22" ht="14.25">
      <c r="A22" s="13">
        <v>24</v>
      </c>
      <c r="B22" s="13">
        <v>768</v>
      </c>
      <c r="C22" s="14">
        <v>4096</v>
      </c>
      <c r="D22" s="2"/>
      <c r="E22" s="2"/>
      <c r="F22" s="2"/>
      <c r="G22" s="2"/>
      <c r="H22" s="2"/>
    </row>
    <row r="23" ht="14.25">
      <c r="A23" s="11">
        <v>1</v>
      </c>
      <c r="B23" s="11">
        <v>32</v>
      </c>
      <c r="C23" s="12">
        <v>4096</v>
      </c>
      <c r="D23" s="2"/>
      <c r="E23" s="2"/>
      <c r="F23" s="2"/>
      <c r="G23" s="2"/>
      <c r="H23" s="2"/>
    </row>
    <row r="24" ht="14.25">
      <c r="A24" s="14">
        <v>999</v>
      </c>
      <c r="B24" s="14">
        <v>31968</v>
      </c>
      <c r="C24" s="14">
        <v>32768</v>
      </c>
      <c r="D24" s="2"/>
      <c r="E24" s="2"/>
      <c r="F24" s="2"/>
      <c r="G24" s="2"/>
      <c r="H24" s="2"/>
    </row>
    <row r="25" ht="14.25">
      <c r="A25" s="15"/>
      <c r="B25" s="15"/>
      <c r="C25" s="15"/>
      <c r="D25" s="15"/>
      <c r="E25" s="15"/>
      <c r="F25" s="15"/>
      <c r="G25" s="15"/>
      <c r="H25" s="15"/>
    </row>
    <row r="26" ht="14.25">
      <c r="A26" s="8" t="s">
        <v>1</v>
      </c>
      <c r="B26" s="8" t="s">
        <v>2</v>
      </c>
      <c r="C26" s="8" t="s">
        <v>4</v>
      </c>
      <c r="D26" s="15"/>
      <c r="E26" s="15"/>
      <c r="F26" s="15"/>
      <c r="G26" s="15"/>
      <c r="H26" s="15"/>
    </row>
    <row r="27" ht="14.25">
      <c r="A27" s="16">
        <v>30</v>
      </c>
      <c r="B27" s="16">
        <f>A27*8</f>
        <v>240</v>
      </c>
      <c r="C27" s="16">
        <f>_xlfn.BITAND((B27+4095),18446744073709548000)</f>
        <v>4096</v>
      </c>
      <c r="D27" s="15"/>
      <c r="E27" s="15"/>
      <c r="F27" s="15"/>
      <c r="G27" s="15"/>
      <c r="H27" s="15"/>
    </row>
    <row r="28" ht="14.25">
      <c r="A28" s="12">
        <v>57</v>
      </c>
      <c r="B28" s="16">
        <f>A28*8</f>
        <v>456</v>
      </c>
      <c r="C28" s="16">
        <f>_xlfn.BITAND((B28+4095),18446744073709548000)</f>
        <v>4096</v>
      </c>
      <c r="D28" s="15"/>
      <c r="E28" s="15"/>
      <c r="F28" s="15"/>
      <c r="G28" s="15"/>
      <c r="H28" s="15"/>
    </row>
    <row r="29" ht="14.25">
      <c r="A29" s="14">
        <v>123</v>
      </c>
      <c r="B29" s="16">
        <f>A29*8</f>
        <v>984</v>
      </c>
      <c r="C29" s="16">
        <f>_xlfn.BITAND((B29+4095),18446744073709548000)</f>
        <v>4096</v>
      </c>
      <c r="D29" s="15"/>
      <c r="E29" s="15"/>
      <c r="F29" s="15"/>
      <c r="G29" s="15"/>
      <c r="H29" s="15"/>
    </row>
    <row r="30" ht="14.25">
      <c r="A30" s="12">
        <v>353</v>
      </c>
      <c r="B30" s="16">
        <f>A30*8</f>
        <v>2824</v>
      </c>
      <c r="C30" s="16">
        <f>_xlfn.BITAND((B30+4095),18446744073709548000)</f>
        <v>4096</v>
      </c>
      <c r="D30" s="15"/>
      <c r="E30" s="15"/>
      <c r="F30" s="15"/>
      <c r="G30" s="15"/>
      <c r="H30" s="15"/>
    </row>
    <row r="31" ht="14.25">
      <c r="A31" s="14">
        <v>512</v>
      </c>
      <c r="B31" s="16">
        <f>A31*8</f>
        <v>4096</v>
      </c>
      <c r="C31" s="16">
        <f>_xlfn.BITAND((B31+4095),18446744073709548000)</f>
        <v>4096</v>
      </c>
      <c r="D31" s="15"/>
      <c r="E31" s="15"/>
      <c r="F31" s="15"/>
      <c r="G31" s="15"/>
      <c r="H31" s="15"/>
    </row>
    <row r="32" ht="14.25">
      <c r="A32" s="12">
        <v>2</v>
      </c>
      <c r="B32" s="16">
        <f>A32*8</f>
        <v>16</v>
      </c>
      <c r="C32" s="16">
        <f>_xlfn.BITAND((B32+4095),18446744073709548000)</f>
        <v>4096</v>
      </c>
      <c r="D32" s="15"/>
      <c r="E32" s="15"/>
      <c r="F32" s="15"/>
      <c r="G32" s="15"/>
      <c r="H32" s="15"/>
    </row>
    <row r="33" ht="14.25">
      <c r="A33" s="14">
        <v>24</v>
      </c>
      <c r="B33" s="16">
        <f>A33*8</f>
        <v>192</v>
      </c>
      <c r="C33" s="16">
        <f>_xlfn.BITAND((B33+4095),18446744073709548000)</f>
        <v>4096</v>
      </c>
      <c r="D33" s="15"/>
      <c r="E33" s="15"/>
      <c r="F33" s="15"/>
      <c r="G33" s="15"/>
      <c r="H33" s="15"/>
    </row>
    <row r="34" ht="14.25">
      <c r="A34" s="12">
        <v>1</v>
      </c>
      <c r="B34" s="16">
        <f>A34*8</f>
        <v>8</v>
      </c>
      <c r="C34" s="16">
        <f>_xlfn.BITAND((B34+4095),18446744073709548000)</f>
        <v>4096</v>
      </c>
      <c r="D34" s="15"/>
      <c r="E34" s="15"/>
      <c r="F34" s="15"/>
      <c r="G34" s="15"/>
      <c r="H34" s="15"/>
    </row>
    <row r="35" ht="14.25">
      <c r="A35" s="14">
        <v>999</v>
      </c>
      <c r="B35" s="16">
        <f>A35*8</f>
        <v>7992</v>
      </c>
      <c r="C35" s="17">
        <f>_xlfn.BITAND((B35+4095),18446744073709548000)</f>
        <v>8192</v>
      </c>
      <c r="D35" s="15"/>
      <c r="E35" s="15"/>
      <c r="F35" s="15"/>
      <c r="G35" s="15"/>
      <c r="H35" s="15"/>
    </row>
    <row r="36" ht="14.25">
      <c r="A36" s="2"/>
      <c r="B36" s="2"/>
      <c r="C36" s="2"/>
      <c r="D36" s="15">
        <f>_xlfn.BITAND(1,4096)</f>
        <v>0</v>
      </c>
      <c r="E36" s="15"/>
      <c r="F36" s="15"/>
      <c r="G36" s="15"/>
      <c r="H36" s="15"/>
    </row>
    <row r="37" ht="14.25">
      <c r="A37" s="2"/>
      <c r="B37" s="2"/>
      <c r="C37" s="2"/>
      <c r="D37" s="15"/>
      <c r="E37" s="15"/>
      <c r="F37" s="15"/>
      <c r="G37" s="15"/>
      <c r="H37" s="15"/>
    </row>
    <row r="38" ht="14.25">
      <c r="A38" s="18" t="s">
        <v>10</v>
      </c>
      <c r="B38" s="18" t="s">
        <v>11</v>
      </c>
      <c r="C38" s="18" t="s">
        <v>12</v>
      </c>
      <c r="D38" s="15"/>
      <c r="E38" s="15"/>
      <c r="F38" s="15"/>
      <c r="G38" s="15"/>
      <c r="H38" s="15"/>
    </row>
    <row r="39" ht="14.25">
      <c r="A39" s="14">
        <f>B16-B27</f>
        <v>720</v>
      </c>
      <c r="B39" s="14">
        <f>C16-C27</f>
        <v>0</v>
      </c>
      <c r="C39" s="14">
        <f>B39/4096</f>
        <v>0</v>
      </c>
      <c r="D39" s="15"/>
      <c r="E39" s="15"/>
      <c r="F39" s="15"/>
      <c r="G39" s="15"/>
      <c r="H39" s="15"/>
    </row>
    <row r="40" ht="14.25">
      <c r="A40" s="14">
        <f>B17-B28</f>
        <v>1368</v>
      </c>
      <c r="B40" s="14">
        <f>C17-C28</f>
        <v>0</v>
      </c>
      <c r="C40" s="14">
        <f>B40/4096</f>
        <v>0</v>
      </c>
      <c r="D40" s="15"/>
      <c r="E40" s="15"/>
      <c r="F40" s="15"/>
      <c r="G40" s="15"/>
      <c r="H40" s="15"/>
    </row>
    <row r="41" ht="14.25">
      <c r="A41" s="14">
        <f>B18-B29</f>
        <v>2952</v>
      </c>
      <c r="B41" s="14">
        <f>C18-C29</f>
        <v>0</v>
      </c>
      <c r="C41" s="14">
        <f>B41/4096</f>
        <v>0</v>
      </c>
      <c r="D41" s="15"/>
      <c r="E41" s="15"/>
      <c r="F41" s="15"/>
      <c r="G41" s="15"/>
      <c r="H41" s="15"/>
    </row>
    <row r="42" ht="14.25">
      <c r="A42" s="14">
        <f>B19-B30</f>
        <v>8472</v>
      </c>
      <c r="B42" s="14">
        <f>C19-C30</f>
        <v>8192</v>
      </c>
      <c r="C42" s="14">
        <f>B42/4096</f>
        <v>2</v>
      </c>
      <c r="D42" s="15"/>
      <c r="E42" s="15"/>
      <c r="F42" s="15"/>
      <c r="G42" s="15"/>
      <c r="H42" s="15"/>
    </row>
    <row r="43" ht="14.25">
      <c r="A43" s="14">
        <f>B20-B31</f>
        <v>12288</v>
      </c>
      <c r="B43" s="14">
        <f>C20-C31</f>
        <v>12288</v>
      </c>
      <c r="C43" s="14">
        <f>B43/4096</f>
        <v>3</v>
      </c>
      <c r="D43" s="15"/>
      <c r="E43" s="15"/>
      <c r="F43" s="15"/>
      <c r="G43" s="15"/>
      <c r="H43" s="15"/>
    </row>
    <row r="44" ht="14.25">
      <c r="A44" s="14">
        <f>B21-B32</f>
        <v>48</v>
      </c>
      <c r="B44" s="14">
        <f>C21-C32</f>
        <v>0</v>
      </c>
      <c r="C44" s="14">
        <f>B44/4096</f>
        <v>0</v>
      </c>
      <c r="D44" s="15"/>
      <c r="E44" s="15"/>
      <c r="F44" s="15"/>
      <c r="G44" s="15"/>
      <c r="H44" s="15"/>
    </row>
    <row r="45" ht="14.25">
      <c r="A45" s="14">
        <f>B22-B33</f>
        <v>576</v>
      </c>
      <c r="B45" s="14">
        <f>C22-C33</f>
        <v>0</v>
      </c>
      <c r="C45" s="14">
        <f>B45/4096</f>
        <v>0</v>
      </c>
      <c r="D45" s="15"/>
      <c r="E45" s="15"/>
      <c r="F45" s="15"/>
      <c r="G45" s="15"/>
      <c r="H45" s="15"/>
    </row>
    <row r="46" ht="14.25">
      <c r="A46" s="14">
        <f>B23-B34</f>
        <v>24</v>
      </c>
      <c r="B46" s="14">
        <f>C23-C34</f>
        <v>0</v>
      </c>
      <c r="C46" s="14">
        <f>B46/4096</f>
        <v>0</v>
      </c>
      <c r="D46" s="15"/>
      <c r="E46" s="15"/>
      <c r="F46" s="15"/>
      <c r="G46" s="15"/>
      <c r="H46" s="15"/>
    </row>
    <row r="47" ht="14.25">
      <c r="A47" s="14">
        <f>B24-B35</f>
        <v>23976</v>
      </c>
      <c r="B47" s="14">
        <f>C24-C35</f>
        <v>24576</v>
      </c>
      <c r="C47" s="14">
        <f>B47/4096</f>
        <v>6</v>
      </c>
      <c r="D47" s="15"/>
      <c r="E47" s="15"/>
      <c r="F47" s="15"/>
      <c r="G47" s="15"/>
      <c r="H47" s="15"/>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D186" zoomScale="100" workbookViewId="0">
      <selection activeCell="A1" activeCellId="0" sqref="A1"/>
    </sheetView>
  </sheetViews>
  <sheetFormatPr defaultRowHeight="14.25"/>
  <cols>
    <col customWidth="1" min="1" max="1" width="33.8515625"/>
    <col bestFit="1" min="2" max="2" width="28.140625"/>
    <col bestFit="1" min="3" max="3" width="29.28125"/>
    <col bestFit="1" min="4" max="4" width="24.421875"/>
    <col bestFit="1" min="5" max="5" width="21.57421875"/>
    <col customWidth="1" min="6" max="6" width="26.421875"/>
    <col bestFit="1" customWidth="1" min="7" max="7" width="30.8515625"/>
    <col bestFit="1" min="8" max="9" width="26.8515625"/>
    <col customWidth="1" min="10" max="10" width="37.421875"/>
    <col customWidth="1" min="11" max="11" width="52.7109375"/>
    <col bestFit="1" customWidth="1" min="12" max="12" width="22.28125"/>
    <col customWidth="1" min="13" max="13" width="22.28125"/>
    <col customWidth="1" min="14" max="14" width="15.8515625"/>
    <col customWidth="1" min="15" max="15" width="12.8515625"/>
  </cols>
  <sheetData>
    <row r="1" ht="14.25">
      <c r="A1" s="19" t="s">
        <v>13</v>
      </c>
      <c r="B1" s="19" t="s">
        <v>14</v>
      </c>
      <c r="C1" s="19" t="s">
        <v>15</v>
      </c>
      <c r="D1" s="19" t="s">
        <v>16</v>
      </c>
      <c r="E1" s="19" t="s">
        <v>17</v>
      </c>
      <c r="F1" s="20" t="s">
        <v>18</v>
      </c>
      <c r="G1" s="2"/>
      <c r="H1" s="2"/>
      <c r="I1" s="2"/>
      <c r="J1" s="2"/>
      <c r="K1" s="2"/>
      <c r="L1" s="2"/>
      <c r="M1" s="2"/>
      <c r="N1" s="2"/>
      <c r="O1" s="2"/>
      <c r="P1" s="2"/>
      <c r="Q1" s="2"/>
    </row>
    <row r="2" ht="14.25">
      <c r="A2" s="19">
        <v>140725309976104</v>
      </c>
      <c r="B2" s="19">
        <v>139907782287360</v>
      </c>
      <c r="C2" s="19">
        <v>139907782283264</v>
      </c>
      <c r="D2" s="19">
        <v>0</v>
      </c>
      <c r="E2" s="19">
        <v>4096</v>
      </c>
      <c r="F2" s="19">
        <v>4</v>
      </c>
      <c r="G2" s="2"/>
      <c r="H2" s="21" t="s">
        <v>19</v>
      </c>
      <c r="I2" s="21"/>
      <c r="J2" s="21"/>
      <c r="K2" s="21"/>
      <c r="L2" s="21"/>
      <c r="M2" s="2"/>
      <c r="N2" s="2"/>
      <c r="O2" s="2"/>
      <c r="P2" s="2"/>
      <c r="Q2" s="2"/>
    </row>
    <row r="3" ht="14.25">
      <c r="A3" s="19">
        <v>140725309976104</v>
      </c>
      <c r="B3" s="19">
        <v>139907782287360</v>
      </c>
      <c r="C3" s="19">
        <v>139907782279168</v>
      </c>
      <c r="D3" s="19">
        <v>1</v>
      </c>
      <c r="E3" s="19">
        <v>4096</v>
      </c>
      <c r="F3" s="19">
        <v>8</v>
      </c>
      <c r="G3" s="2"/>
      <c r="H3" s="21"/>
      <c r="I3" s="21"/>
      <c r="J3" s="21"/>
      <c r="K3" s="21"/>
      <c r="L3" s="21"/>
      <c r="M3" s="2"/>
      <c r="N3" s="2"/>
      <c r="O3" s="2"/>
      <c r="P3" s="2"/>
      <c r="Q3" s="2"/>
    </row>
    <row r="4" ht="14.25">
      <c r="A4" s="19">
        <v>140725309976104</v>
      </c>
      <c r="B4" s="19">
        <v>139907782287360</v>
      </c>
      <c r="C4" s="19">
        <v>139907782275072</v>
      </c>
      <c r="D4" s="19">
        <v>7</v>
      </c>
      <c r="E4" s="19">
        <v>4096</v>
      </c>
      <c r="F4" s="19">
        <v>16</v>
      </c>
      <c r="G4" s="2"/>
      <c r="H4" s="21"/>
      <c r="I4" s="21"/>
      <c r="J4" s="21"/>
      <c r="K4" s="21"/>
      <c r="L4" s="21"/>
      <c r="M4" s="2"/>
      <c r="N4" s="2"/>
      <c r="O4" s="2"/>
      <c r="P4" s="2"/>
      <c r="Q4" s="2"/>
    </row>
    <row r="5" ht="14.25">
      <c r="A5" s="19">
        <v>140725309976104</v>
      </c>
      <c r="B5" s="19">
        <v>139907782287360</v>
      </c>
      <c r="C5" s="19">
        <v>139907782270976</v>
      </c>
      <c r="D5" s="19">
        <v>2</v>
      </c>
      <c r="E5" s="19">
        <v>4096</v>
      </c>
      <c r="F5" s="19">
        <v>8</v>
      </c>
      <c r="G5" s="2"/>
      <c r="H5" s="21"/>
      <c r="I5" s="21"/>
      <c r="J5" s="21"/>
      <c r="K5" s="21"/>
      <c r="L5" s="21"/>
      <c r="M5" s="2"/>
      <c r="N5" s="2"/>
      <c r="O5" s="2"/>
      <c r="P5" s="2"/>
      <c r="Q5" s="2"/>
    </row>
    <row r="6" ht="14.25">
      <c r="A6" s="19">
        <v>-1</v>
      </c>
      <c r="B6" s="19">
        <v>-1</v>
      </c>
      <c r="C6" s="19">
        <v>-1</v>
      </c>
      <c r="D6" s="19">
        <v>-1</v>
      </c>
      <c r="E6" s="19">
        <v>-1</v>
      </c>
      <c r="F6" s="19">
        <v>-1</v>
      </c>
      <c r="G6" s="2"/>
      <c r="H6" s="21"/>
      <c r="I6" s="21"/>
      <c r="J6" s="21"/>
      <c r="K6" s="21"/>
      <c r="L6" s="21"/>
      <c r="M6" s="2"/>
      <c r="N6" s="2"/>
      <c r="O6" s="2"/>
      <c r="P6" s="2"/>
      <c r="Q6" s="2"/>
    </row>
    <row r="7" ht="14.25">
      <c r="A7" s="19">
        <v>-1</v>
      </c>
      <c r="B7" s="19">
        <v>-1</v>
      </c>
      <c r="C7" s="19">
        <v>-1</v>
      </c>
      <c r="D7" s="19">
        <v>-1</v>
      </c>
      <c r="E7" s="19">
        <v>-1</v>
      </c>
      <c r="F7" s="19">
        <v>-1</v>
      </c>
      <c r="G7" s="2"/>
      <c r="H7" s="21"/>
      <c r="I7" s="21"/>
      <c r="J7" s="21"/>
      <c r="K7" s="21"/>
      <c r="L7" s="21"/>
      <c r="M7" s="2"/>
      <c r="N7" s="2"/>
      <c r="O7" s="2"/>
      <c r="P7" s="2"/>
      <c r="Q7" s="2"/>
    </row>
    <row r="8" ht="14.25">
      <c r="A8" s="19">
        <v>-1</v>
      </c>
      <c r="B8" s="19">
        <v>-1</v>
      </c>
      <c r="C8" s="19">
        <v>-1</v>
      </c>
      <c r="D8" s="19">
        <v>-1</v>
      </c>
      <c r="E8" s="19">
        <v>-1</v>
      </c>
      <c r="F8" s="19">
        <v>-1</v>
      </c>
      <c r="G8" s="2"/>
      <c r="H8" s="21"/>
      <c r="I8" s="21"/>
      <c r="J8" s="21"/>
      <c r="K8" s="21"/>
      <c r="L8" s="21"/>
      <c r="M8" s="2"/>
      <c r="N8" s="2"/>
      <c r="O8" s="2"/>
      <c r="P8" s="2"/>
      <c r="Q8" s="2"/>
    </row>
    <row r="9" ht="14.25">
      <c r="A9" s="19">
        <v>-1</v>
      </c>
      <c r="B9" s="19">
        <v>-1</v>
      </c>
      <c r="C9" s="19">
        <v>-1</v>
      </c>
      <c r="D9" s="19">
        <v>-1</v>
      </c>
      <c r="E9" s="19">
        <v>-1</v>
      </c>
      <c r="F9" s="19">
        <v>-1</v>
      </c>
      <c r="G9" s="2"/>
      <c r="H9" s="21"/>
      <c r="I9" s="21"/>
      <c r="J9" s="21"/>
      <c r="K9" s="21"/>
      <c r="L9" s="21"/>
      <c r="M9" s="2"/>
      <c r="N9" s="2"/>
      <c r="O9" s="2"/>
      <c r="P9" s="2"/>
      <c r="Q9" s="2"/>
    </row>
    <row r="10" ht="14.25">
      <c r="A10" s="19">
        <v>-1</v>
      </c>
      <c r="B10" s="19">
        <v>-1</v>
      </c>
      <c r="C10" s="19">
        <v>-1</v>
      </c>
      <c r="D10" s="19">
        <v>-1</v>
      </c>
      <c r="E10" s="19">
        <v>-1</v>
      </c>
      <c r="F10" s="19">
        <v>-1</v>
      </c>
      <c r="G10" s="2"/>
      <c r="H10" s="21"/>
      <c r="I10" s="21"/>
      <c r="J10" s="21"/>
      <c r="K10" s="21"/>
      <c r="L10" s="21"/>
      <c r="M10" s="2"/>
      <c r="N10" s="2"/>
      <c r="O10" s="2"/>
      <c r="P10" s="2"/>
      <c r="Q10" s="2"/>
    </row>
    <row r="11" ht="14.25">
      <c r="A11" s="2"/>
      <c r="B11" s="2"/>
      <c r="C11" s="2"/>
      <c r="D11" s="2"/>
      <c r="E11" s="2"/>
      <c r="F11" s="2"/>
      <c r="G11" s="2"/>
      <c r="H11" s="21"/>
      <c r="I11" s="21"/>
      <c r="J11" s="21"/>
      <c r="K11" s="21"/>
      <c r="L11" s="21"/>
      <c r="M11" s="2"/>
      <c r="N11" s="2"/>
      <c r="O11" s="2"/>
      <c r="P11" s="2"/>
      <c r="Q11" s="2"/>
    </row>
    <row r="12" ht="14.25">
      <c r="A12" t="s">
        <v>20</v>
      </c>
      <c r="B12" t="s">
        <v>21</v>
      </c>
      <c r="C12" t="s">
        <v>22</v>
      </c>
      <c r="D12" t="s">
        <v>23</v>
      </c>
      <c r="E12" s="2"/>
      <c r="F12" s="2"/>
      <c r="G12" s="2"/>
      <c r="H12" s="2"/>
      <c r="I12" s="2"/>
      <c r="J12" s="2"/>
      <c r="K12" s="2"/>
      <c r="L12" s="2"/>
      <c r="M12" s="2"/>
      <c r="N12" s="2"/>
      <c r="O12" s="2"/>
      <c r="P12" s="2"/>
      <c r="Q12" s="2"/>
    </row>
    <row r="13" ht="14.25">
      <c r="A13">
        <f>C2-B2</f>
        <v>-4096</v>
      </c>
      <c r="B13">
        <f>C2-B3</f>
        <v>-4096</v>
      </c>
      <c r="C13">
        <f>C2-B4</f>
        <v>-4096</v>
      </c>
      <c r="D13">
        <f>C2-B4</f>
        <v>-4096</v>
      </c>
      <c r="E13" s="2"/>
      <c r="F13" s="21" t="s">
        <v>24</v>
      </c>
      <c r="G13" s="22"/>
      <c r="H13" s="22"/>
      <c r="I13" s="22"/>
      <c r="J13" s="2"/>
      <c r="K13" s="21" t="s">
        <v>25</v>
      </c>
      <c r="L13" s="22"/>
      <c r="M13" s="22"/>
      <c r="N13" s="22"/>
      <c r="O13" s="22"/>
      <c r="P13" s="22"/>
      <c r="Q13" s="2"/>
    </row>
    <row r="14" ht="14.25">
      <c r="A14">
        <f>C3-B2</f>
        <v>-8192</v>
      </c>
      <c r="B14">
        <f>C3-B3</f>
        <v>-8192</v>
      </c>
      <c r="C14">
        <f>C3-B4</f>
        <v>-8192</v>
      </c>
      <c r="D14">
        <f>C3-B4</f>
        <v>-8192</v>
      </c>
      <c r="E14" s="2"/>
      <c r="F14" s="22"/>
      <c r="G14" s="22"/>
      <c r="H14" s="22"/>
      <c r="I14" s="22"/>
      <c r="J14" s="2"/>
      <c r="K14" s="22"/>
      <c r="L14" s="22"/>
      <c r="M14" s="22"/>
      <c r="N14" s="22"/>
      <c r="O14" s="22"/>
      <c r="P14" s="22"/>
      <c r="Q14" s="2"/>
    </row>
    <row r="15" ht="14.25">
      <c r="A15">
        <f>C4-B2</f>
        <v>-12288</v>
      </c>
      <c r="B15">
        <f>C4-B3</f>
        <v>-12288</v>
      </c>
      <c r="C15">
        <f>C4-B4</f>
        <v>-12288</v>
      </c>
      <c r="D15">
        <f>C4-B4</f>
        <v>-12288</v>
      </c>
      <c r="E15" s="2"/>
      <c r="F15" s="22"/>
      <c r="G15" s="22"/>
      <c r="H15" s="22"/>
      <c r="I15" s="22"/>
      <c r="J15" s="2"/>
      <c r="K15" s="22"/>
      <c r="L15" s="22"/>
      <c r="M15" s="22"/>
      <c r="N15" s="22"/>
      <c r="O15" s="22"/>
      <c r="P15" s="22"/>
      <c r="Q15" s="2"/>
    </row>
    <row r="16" ht="14.25">
      <c r="A16">
        <f>C5-B2</f>
        <v>-16384</v>
      </c>
      <c r="B16">
        <f>C5-B3</f>
        <v>-16384</v>
      </c>
      <c r="C16">
        <f>C5-B4</f>
        <v>-16384</v>
      </c>
      <c r="D16">
        <f>C5-B4</f>
        <v>-16384</v>
      </c>
      <c r="E16" s="2"/>
      <c r="F16" s="22"/>
      <c r="G16" s="22"/>
      <c r="H16" s="22"/>
      <c r="I16" s="22"/>
      <c r="J16" s="2"/>
      <c r="K16" s="22"/>
      <c r="L16" s="22"/>
      <c r="M16" s="22"/>
      <c r="N16" s="22"/>
      <c r="O16" s="22"/>
      <c r="P16" s="22"/>
      <c r="Q16" s="2"/>
    </row>
    <row r="17" ht="14.25">
      <c r="A17" s="2"/>
      <c r="B17" s="2"/>
      <c r="C17" s="2"/>
      <c r="D17" s="2"/>
      <c r="E17" s="2"/>
      <c r="F17" s="22"/>
      <c r="G17" s="22"/>
      <c r="H17" s="22"/>
      <c r="I17" s="22"/>
      <c r="J17" s="2"/>
      <c r="K17" s="22"/>
      <c r="L17" s="22"/>
      <c r="M17" s="22"/>
      <c r="N17" s="22"/>
      <c r="O17" s="22"/>
      <c r="P17" s="22"/>
      <c r="Q17" s="2"/>
    </row>
    <row r="18" ht="14.25">
      <c r="A18" s="2"/>
      <c r="B18" s="2"/>
      <c r="C18" s="6"/>
      <c r="D18" s="6"/>
      <c r="E18" s="2"/>
      <c r="F18" s="22"/>
      <c r="G18" s="22"/>
      <c r="H18" s="22"/>
      <c r="I18" s="22"/>
      <c r="J18" s="2"/>
      <c r="K18" s="22"/>
      <c r="L18" s="22"/>
      <c r="M18" s="22"/>
      <c r="N18" s="22"/>
      <c r="O18" s="22"/>
      <c r="P18" s="22"/>
      <c r="Q18" s="2"/>
    </row>
    <row r="19" ht="14.25">
      <c r="A19" s="23"/>
      <c r="B19" s="23"/>
      <c r="C19" s="6"/>
      <c r="D19" s="6"/>
      <c r="E19" s="2"/>
      <c r="F19" s="22"/>
      <c r="G19" s="22"/>
      <c r="H19" s="22"/>
      <c r="I19" s="22"/>
      <c r="J19" s="2"/>
      <c r="K19" s="22"/>
      <c r="L19" s="22"/>
      <c r="M19" s="22"/>
      <c r="N19" s="22"/>
      <c r="O19" s="22"/>
      <c r="P19" s="22"/>
      <c r="Q19" s="2"/>
    </row>
    <row r="20" ht="14.25">
      <c r="A20" s="24" t="s">
        <v>26</v>
      </c>
      <c r="B20" s="2"/>
      <c r="C20" s="6"/>
      <c r="D20" s="6"/>
      <c r="E20" s="2"/>
      <c r="F20" s="22"/>
      <c r="G20" s="22"/>
      <c r="H20" s="22"/>
      <c r="I20" s="22"/>
      <c r="J20" s="2"/>
      <c r="K20" s="22"/>
      <c r="L20" s="22"/>
      <c r="M20" s="22"/>
      <c r="N20" s="22"/>
      <c r="O20" s="22"/>
      <c r="P20" s="22"/>
      <c r="Q20" s="2"/>
    </row>
    <row r="21" ht="14.25">
      <c r="A21" s="25">
        <f>C3-C2</f>
        <v>-4096</v>
      </c>
      <c r="B21" s="23"/>
      <c r="C21" s="6"/>
      <c r="D21" s="6"/>
      <c r="E21" s="2"/>
      <c r="F21" s="22"/>
      <c r="G21" s="22"/>
      <c r="H21" s="22"/>
      <c r="I21" s="22"/>
      <c r="J21" s="2"/>
      <c r="K21" s="22"/>
      <c r="L21" s="22"/>
      <c r="M21" s="22"/>
      <c r="N21" s="22"/>
      <c r="O21" s="22"/>
      <c r="P21" s="22"/>
      <c r="Q21" s="2"/>
    </row>
    <row r="22" ht="14.25">
      <c r="A22" s="26">
        <f>C4-C3</f>
        <v>-4096</v>
      </c>
      <c r="B22" s="23"/>
      <c r="C22" s="6"/>
      <c r="D22" s="6"/>
      <c r="E22" s="2"/>
      <c r="F22" s="22"/>
      <c r="G22" s="22"/>
      <c r="H22" s="22"/>
      <c r="I22" s="22"/>
      <c r="J22" s="2"/>
      <c r="K22" s="22"/>
      <c r="L22" s="22"/>
      <c r="M22" s="22"/>
      <c r="N22" s="22"/>
      <c r="O22" s="22"/>
      <c r="P22" s="22"/>
      <c r="Q22" s="2"/>
    </row>
    <row r="23" ht="14.25">
      <c r="A23" s="25">
        <f>C5-C4</f>
        <v>-4096</v>
      </c>
      <c r="B23" s="23"/>
      <c r="C23" s="6"/>
      <c r="D23" s="6"/>
      <c r="E23" s="2"/>
      <c r="F23" s="22"/>
      <c r="G23" s="22"/>
      <c r="H23" s="22"/>
      <c r="I23" s="22"/>
      <c r="J23" s="2"/>
      <c r="K23" s="22"/>
      <c r="L23" s="22"/>
      <c r="M23" s="22"/>
      <c r="N23" s="22"/>
      <c r="O23" s="22"/>
      <c r="P23" s="22"/>
      <c r="Q23" s="2"/>
    </row>
    <row r="24" ht="14.25">
      <c r="A24" s="27"/>
      <c r="B24" s="23"/>
      <c r="C24" s="6"/>
      <c r="D24" s="6"/>
      <c r="E24" s="2"/>
      <c r="F24" s="22"/>
      <c r="G24" s="22"/>
      <c r="H24" s="22"/>
      <c r="I24" s="22"/>
      <c r="J24" s="2"/>
      <c r="K24" s="22"/>
      <c r="L24" s="22"/>
      <c r="M24" s="22"/>
      <c r="N24" s="22"/>
      <c r="O24" s="22"/>
      <c r="P24" s="22"/>
      <c r="Q24" s="2"/>
    </row>
    <row r="25" ht="14.25">
      <c r="A25" s="27"/>
      <c r="B25" s="23"/>
      <c r="C25" s="6"/>
      <c r="D25" s="6"/>
      <c r="E25" s="2"/>
      <c r="F25" s="22"/>
      <c r="G25" s="22"/>
      <c r="H25" s="22"/>
      <c r="I25" s="22"/>
      <c r="J25" s="2"/>
      <c r="K25" s="22"/>
      <c r="L25" s="22"/>
      <c r="M25" s="22"/>
      <c r="N25" s="22"/>
      <c r="O25" s="22"/>
      <c r="P25" s="22"/>
      <c r="Q25" s="2"/>
    </row>
    <row r="26" ht="14.25">
      <c r="A26" s="27"/>
      <c r="B26" s="23"/>
      <c r="C26" s="6"/>
      <c r="D26" s="6"/>
      <c r="E26" s="2"/>
      <c r="F26" s="22"/>
      <c r="G26" s="22"/>
      <c r="H26" s="22"/>
      <c r="I26" s="22"/>
      <c r="J26" s="2"/>
      <c r="K26" s="22"/>
      <c r="L26" s="22"/>
      <c r="M26" s="22"/>
      <c r="N26" s="22"/>
      <c r="O26" s="22"/>
      <c r="P26" s="22"/>
      <c r="Q26" s="2"/>
    </row>
    <row r="27" ht="14.25">
      <c r="A27" s="27"/>
      <c r="B27" s="2"/>
      <c r="C27" s="2"/>
      <c r="D27" s="2"/>
      <c r="E27" s="2"/>
      <c r="F27" s="2"/>
      <c r="G27" s="2"/>
      <c r="H27" s="2"/>
      <c r="I27" s="2"/>
      <c r="J27" s="2"/>
      <c r="K27" s="2"/>
      <c r="L27" s="2"/>
      <c r="M27" s="2"/>
      <c r="N27" s="2"/>
      <c r="O27" s="2"/>
      <c r="P27" s="2"/>
      <c r="Q27" s="2"/>
    </row>
    <row r="28" ht="14.25">
      <c r="A28" s="27"/>
      <c r="B28" s="2"/>
      <c r="C28" s="2"/>
      <c r="D28" s="2"/>
      <c r="E28" s="2"/>
      <c r="F28" s="2"/>
      <c r="G28" s="2"/>
      <c r="H28" s="2"/>
      <c r="I28" s="2"/>
      <c r="J28" s="2"/>
      <c r="K28" s="2"/>
      <c r="L28" s="2"/>
      <c r="M28" s="2"/>
      <c r="N28" s="2"/>
      <c r="O28" s="2"/>
      <c r="P28" s="2"/>
      <c r="Q28" s="2"/>
    </row>
    <row r="29" ht="14.25">
      <c r="A29" s="27"/>
      <c r="B29" s="2"/>
      <c r="C29" s="2"/>
      <c r="D29" s="2"/>
      <c r="E29" s="2"/>
      <c r="F29" s="2"/>
      <c r="G29" s="2"/>
      <c r="H29" s="2"/>
      <c r="I29" s="2"/>
      <c r="J29" s="2"/>
      <c r="K29" s="2"/>
      <c r="L29" s="2"/>
      <c r="M29" s="2"/>
      <c r="N29" s="2"/>
      <c r="O29" s="2"/>
      <c r="P29" s="2"/>
      <c r="Q29" s="2"/>
    </row>
    <row r="30" ht="14.25">
      <c r="A30" s="2"/>
      <c r="B30" s="2"/>
      <c r="C30" s="2"/>
      <c r="D30" s="2"/>
      <c r="E30" s="2"/>
      <c r="F30" s="2"/>
      <c r="G30" s="2"/>
      <c r="H30" s="2"/>
      <c r="I30" s="2"/>
      <c r="J30" s="2"/>
      <c r="K30" s="2"/>
      <c r="L30" s="2"/>
      <c r="M30" s="2"/>
      <c r="N30" s="2"/>
      <c r="O30" s="2"/>
      <c r="P30" s="2"/>
      <c r="Q30" s="2"/>
    </row>
    <row r="31" ht="14.25">
      <c r="A31" s="2"/>
      <c r="B31" s="2"/>
      <c r="C31" s="2"/>
      <c r="D31" s="2"/>
      <c r="E31" s="23"/>
      <c r="F31" s="2"/>
      <c r="G31" s="2"/>
      <c r="H31" s="2"/>
      <c r="I31" s="2"/>
      <c r="J31" s="2"/>
      <c r="K31" s="2"/>
      <c r="L31" s="2"/>
      <c r="M31" s="2"/>
      <c r="N31" s="2"/>
      <c r="O31" s="2"/>
      <c r="P31" s="2"/>
      <c r="Q31" s="2"/>
    </row>
    <row r="32" ht="14.25">
      <c r="A32" s="2"/>
      <c r="B32" s="2"/>
      <c r="C32" s="2"/>
      <c r="D32" s="2"/>
      <c r="E32" s="2"/>
      <c r="F32" s="2"/>
      <c r="G32" s="2"/>
      <c r="H32" s="2"/>
      <c r="I32" s="2"/>
      <c r="J32" s="2"/>
      <c r="K32" s="2"/>
      <c r="L32" s="2"/>
      <c r="M32" s="2"/>
      <c r="N32" s="2"/>
      <c r="O32" s="2"/>
      <c r="P32" s="2"/>
      <c r="Q32" s="2"/>
    </row>
    <row r="33" ht="14.25">
      <c r="A33" s="2"/>
      <c r="B33" s="2"/>
      <c r="C33" s="2"/>
      <c r="D33" s="2"/>
      <c r="E33" s="2"/>
      <c r="F33" s="2"/>
      <c r="G33" s="2"/>
      <c r="H33" s="2"/>
      <c r="I33" s="2"/>
      <c r="J33" s="2"/>
      <c r="K33" s="2"/>
      <c r="L33" s="2"/>
      <c r="M33" s="2"/>
      <c r="N33" s="2"/>
      <c r="O33" s="2"/>
      <c r="P33" s="2"/>
      <c r="Q33" s="2"/>
    </row>
    <row r="34" ht="14.25">
      <c r="A34" s="2"/>
      <c r="B34" s="2"/>
      <c r="C34" s="2"/>
      <c r="D34" s="2"/>
      <c r="E34" s="2"/>
      <c r="F34" s="2"/>
      <c r="G34" s="2"/>
      <c r="H34" s="2"/>
      <c r="I34" s="2"/>
      <c r="J34" s="2"/>
      <c r="K34" s="2"/>
      <c r="L34" s="2"/>
      <c r="M34" s="2"/>
      <c r="N34" s="2"/>
      <c r="O34" s="2"/>
      <c r="P34" s="2"/>
      <c r="Q34" s="2"/>
    </row>
    <row r="35" ht="14.25">
      <c r="A35" s="2"/>
      <c r="B35" s="2"/>
      <c r="C35" s="2"/>
      <c r="D35" s="2"/>
      <c r="E35" s="2"/>
      <c r="F35" s="2"/>
      <c r="G35" s="2"/>
      <c r="H35" s="2"/>
      <c r="I35" s="2"/>
      <c r="J35" s="2"/>
      <c r="K35" s="2"/>
      <c r="L35" s="2"/>
      <c r="M35" s="2"/>
      <c r="N35" s="2"/>
      <c r="O35" s="2"/>
      <c r="P35" s="2"/>
      <c r="Q35" s="2"/>
    </row>
    <row r="36" ht="14.25">
      <c r="A36" s="28" t="s">
        <v>27</v>
      </c>
      <c r="B36" s="29"/>
      <c r="C36" s="29"/>
      <c r="D36" s="30" t="s">
        <v>28</v>
      </c>
      <c r="E36" s="31"/>
      <c r="F36" s="31"/>
      <c r="G36" s="31"/>
      <c r="H36" s="32" t="s">
        <v>29</v>
      </c>
      <c r="I36" s="33">
        <v>2</v>
      </c>
      <c r="J36" s="33"/>
      <c r="K36" s="33"/>
      <c r="L36" s="33"/>
      <c r="M36" s="33"/>
      <c r="N36" s="33"/>
      <c r="O36" s="33"/>
      <c r="P36" s="33"/>
      <c r="Q36" s="33"/>
    </row>
    <row r="37" ht="14.25">
      <c r="A37" s="29"/>
      <c r="B37" s="29"/>
      <c r="C37" s="29"/>
      <c r="D37" s="30" t="s">
        <v>30</v>
      </c>
      <c r="E37" s="31"/>
      <c r="F37" s="31"/>
      <c r="G37" s="31"/>
      <c r="H37" s="32" t="s">
        <v>31</v>
      </c>
      <c r="I37" s="33">
        <v>64</v>
      </c>
      <c r="J37" s="33"/>
      <c r="K37" s="33"/>
      <c r="L37" s="33"/>
      <c r="M37" s="33"/>
      <c r="N37" s="33"/>
      <c r="O37" s="33"/>
      <c r="P37" s="33"/>
      <c r="Q37" s="33"/>
    </row>
    <row r="38" ht="14.25">
      <c r="A38" s="29"/>
      <c r="B38" s="29"/>
      <c r="C38" s="29"/>
      <c r="D38" s="30" t="s">
        <v>32</v>
      </c>
      <c r="E38" s="31"/>
      <c r="F38" s="31"/>
      <c r="G38" s="31"/>
      <c r="H38" s="32" t="s">
        <v>33</v>
      </c>
      <c r="I38" s="33">
        <v>64</v>
      </c>
      <c r="J38" s="33"/>
      <c r="K38" s="33"/>
      <c r="L38" s="33"/>
      <c r="M38" s="33"/>
      <c r="N38" s="33"/>
      <c r="O38" s="33"/>
      <c r="P38" s="33"/>
      <c r="Q38" s="33"/>
    </row>
    <row r="39" ht="14.25">
      <c r="A39" s="29"/>
      <c r="B39" s="29"/>
      <c r="C39" s="29"/>
      <c r="D39" s="30" t="s">
        <v>34</v>
      </c>
      <c r="E39" s="31"/>
      <c r="F39" s="31"/>
      <c r="G39" s="31"/>
      <c r="H39" s="32" t="s">
        <v>35</v>
      </c>
      <c r="I39" s="33">
        <v>384</v>
      </c>
      <c r="J39" s="33"/>
      <c r="K39" s="33"/>
      <c r="L39" s="33"/>
      <c r="M39" s="33"/>
      <c r="N39" s="33"/>
      <c r="O39" s="33"/>
      <c r="P39" s="33"/>
      <c r="Q39" s="33"/>
    </row>
    <row r="40" ht="14.25">
      <c r="A40" s="29"/>
      <c r="B40" s="29"/>
      <c r="C40" s="29"/>
      <c r="D40" s="31"/>
      <c r="E40" s="31"/>
      <c r="F40" s="31"/>
      <c r="G40" s="31"/>
      <c r="H40" s="33"/>
      <c r="I40" s="33"/>
      <c r="J40" s="33"/>
      <c r="K40" s="33"/>
      <c r="L40" s="33"/>
      <c r="M40" s="33"/>
      <c r="N40" s="33"/>
      <c r="O40" s="33"/>
      <c r="P40" s="33"/>
      <c r="Q40" s="33"/>
    </row>
    <row r="41" ht="14.25">
      <c r="A41" s="29"/>
      <c r="B41" s="29"/>
      <c r="C41" s="29"/>
      <c r="D41" s="33"/>
      <c r="E41" s="33"/>
      <c r="F41" s="33"/>
      <c r="G41" s="33"/>
      <c r="H41" s="33"/>
      <c r="I41" s="33"/>
      <c r="J41" s="33"/>
      <c r="K41" s="33"/>
      <c r="L41" s="33"/>
      <c r="M41" s="33"/>
      <c r="N41" s="33"/>
      <c r="O41" s="33"/>
      <c r="P41" s="33"/>
      <c r="Q41" s="33"/>
    </row>
    <row r="42" ht="14.25">
      <c r="A42" s="29"/>
      <c r="B42" s="29"/>
      <c r="C42" s="29"/>
      <c r="D42" s="33"/>
      <c r="E42" s="33"/>
      <c r="F42" s="33"/>
      <c r="G42" s="33"/>
      <c r="H42" s="33"/>
      <c r="I42" s="33"/>
      <c r="J42" s="33"/>
      <c r="K42" s="33"/>
      <c r="L42" s="33"/>
      <c r="M42" s="33"/>
      <c r="N42" s="33"/>
      <c r="O42" s="33"/>
      <c r="P42" s="33"/>
      <c r="Q42" s="33"/>
    </row>
    <row r="43" ht="14.25">
      <c r="A43" s="29"/>
      <c r="B43" s="29"/>
      <c r="C43" s="29"/>
      <c r="D43" s="21" t="s">
        <v>36</v>
      </c>
      <c r="E43" s="21"/>
      <c r="F43" s="21"/>
      <c r="G43" s="21"/>
      <c r="H43" s="30"/>
      <c r="I43" s="30"/>
      <c r="J43" s="33"/>
      <c r="K43" s="33"/>
      <c r="L43" s="33"/>
      <c r="M43" s="33"/>
      <c r="N43" s="33"/>
      <c r="O43" s="33"/>
      <c r="P43" s="33"/>
      <c r="Q43" s="33"/>
    </row>
    <row r="44" ht="14.25">
      <c r="A44" s="29"/>
      <c r="B44" s="29"/>
      <c r="C44" s="29"/>
      <c r="D44" s="21"/>
      <c r="E44" s="21"/>
      <c r="F44" s="21"/>
      <c r="G44" s="21"/>
      <c r="H44" s="30"/>
      <c r="I44" s="31"/>
      <c r="J44" s="33"/>
      <c r="K44" s="33"/>
      <c r="L44" s="33"/>
      <c r="M44" s="33"/>
      <c r="N44" s="33"/>
      <c r="O44" s="33"/>
      <c r="P44" s="33"/>
      <c r="Q44" s="33"/>
    </row>
    <row r="45" ht="14.25">
      <c r="A45" s="29"/>
      <c r="B45" s="29"/>
      <c r="C45" s="29"/>
      <c r="D45" s="21"/>
      <c r="E45" s="21"/>
      <c r="F45" s="21"/>
      <c r="G45" s="21"/>
      <c r="H45" s="33"/>
      <c r="I45" s="33"/>
      <c r="J45" s="33"/>
      <c r="K45" s="33"/>
      <c r="L45" s="33"/>
      <c r="M45" s="33"/>
      <c r="N45" s="33"/>
      <c r="O45" s="33"/>
      <c r="P45" s="33"/>
      <c r="Q45" s="33"/>
    </row>
    <row r="46" ht="14.25">
      <c r="A46" s="29"/>
      <c r="B46" s="29"/>
      <c r="C46" s="29"/>
      <c r="D46" s="21"/>
      <c r="E46" s="21"/>
      <c r="F46" s="21"/>
      <c r="G46" s="21"/>
      <c r="H46" s="33"/>
      <c r="I46" s="33"/>
      <c r="J46" s="33"/>
      <c r="K46" s="33"/>
      <c r="L46" s="33"/>
      <c r="M46" s="33"/>
      <c r="N46" s="33"/>
      <c r="O46" s="33"/>
      <c r="P46" s="33"/>
      <c r="Q46" s="33"/>
    </row>
    <row r="47" ht="14.25">
      <c r="A47" s="29"/>
      <c r="B47" s="29"/>
      <c r="C47" s="29"/>
      <c r="D47" s="21"/>
      <c r="E47" s="21"/>
      <c r="F47" s="21"/>
      <c r="G47" s="21"/>
      <c r="H47" s="33"/>
      <c r="I47" s="33"/>
      <c r="J47" s="33"/>
      <c r="K47" s="33"/>
      <c r="L47" s="33"/>
      <c r="M47" s="33"/>
      <c r="N47" s="33"/>
      <c r="O47" s="33"/>
      <c r="P47" s="33"/>
      <c r="Q47" s="33"/>
    </row>
    <row r="48" ht="14.25">
      <c r="A48" s="29"/>
      <c r="B48" s="29"/>
      <c r="C48" s="29"/>
      <c r="D48" s="21"/>
      <c r="E48" s="21"/>
      <c r="F48" s="21"/>
      <c r="G48" s="21"/>
      <c r="H48" s="33"/>
      <c r="I48" s="33"/>
      <c r="J48" s="33"/>
      <c r="K48" s="33"/>
      <c r="L48" s="33"/>
      <c r="M48" s="33"/>
      <c r="N48" s="33"/>
      <c r="O48" s="33"/>
      <c r="P48" s="33"/>
      <c r="Q48" s="33"/>
    </row>
    <row r="49" ht="14.25">
      <c r="A49" s="29"/>
      <c r="B49" s="29"/>
      <c r="C49" s="29"/>
      <c r="D49" s="21"/>
      <c r="E49" s="21"/>
      <c r="F49" s="21"/>
      <c r="G49" s="21"/>
      <c r="H49" s="33"/>
      <c r="I49" s="33"/>
      <c r="J49" s="33"/>
      <c r="K49" s="33"/>
      <c r="L49" s="33"/>
      <c r="M49" s="33"/>
      <c r="N49" s="33"/>
      <c r="O49" s="33"/>
      <c r="P49" s="33"/>
      <c r="Q49" s="33"/>
    </row>
    <row r="50" ht="14.25">
      <c r="A50" s="29"/>
      <c r="B50" s="29"/>
      <c r="C50" s="29"/>
      <c r="D50" s="21"/>
      <c r="E50" s="21"/>
      <c r="F50" s="21"/>
      <c r="G50" s="21"/>
      <c r="H50" s="33"/>
      <c r="I50" s="33"/>
      <c r="J50" s="33"/>
      <c r="K50" s="33"/>
      <c r="L50" s="33"/>
      <c r="M50" s="33"/>
      <c r="N50" s="33"/>
      <c r="O50" s="33"/>
      <c r="P50" s="33"/>
      <c r="Q50" s="33"/>
    </row>
    <row r="51" ht="14.25">
      <c r="A51" s="29"/>
      <c r="B51" s="29"/>
      <c r="C51" s="29"/>
      <c r="D51" s="21"/>
      <c r="E51" s="21"/>
      <c r="F51" s="21"/>
      <c r="G51" s="21"/>
      <c r="H51" s="33"/>
      <c r="I51" s="33"/>
      <c r="J51" s="33"/>
      <c r="K51" s="33"/>
      <c r="L51" s="33"/>
      <c r="M51" s="33"/>
      <c r="N51" s="33"/>
      <c r="O51" s="33"/>
      <c r="P51" s="33"/>
      <c r="Q51" s="33"/>
    </row>
    <row r="52" ht="14.25">
      <c r="A52" s="29"/>
      <c r="B52" s="29"/>
      <c r="C52" s="29"/>
      <c r="D52" s="21"/>
      <c r="E52" s="21"/>
      <c r="F52" s="21"/>
      <c r="G52" s="21"/>
      <c r="H52" s="33"/>
      <c r="I52" s="33"/>
      <c r="J52" s="33"/>
      <c r="K52" s="33"/>
      <c r="L52" s="33"/>
      <c r="M52" s="33"/>
      <c r="N52" s="33"/>
      <c r="O52" s="33"/>
      <c r="P52" s="33"/>
      <c r="Q52" s="33"/>
    </row>
    <row r="53" ht="14.25">
      <c r="A53" s="29"/>
      <c r="B53" s="29"/>
      <c r="C53" s="29"/>
      <c r="D53" s="21"/>
      <c r="E53" s="21"/>
      <c r="F53" s="21"/>
      <c r="G53" s="21"/>
      <c r="H53" s="33"/>
      <c r="I53" s="33"/>
      <c r="J53" s="33"/>
      <c r="K53" s="33"/>
      <c r="L53" s="33"/>
      <c r="M53" s="33"/>
      <c r="N53" s="33"/>
      <c r="O53" s="33"/>
      <c r="P53" s="33"/>
      <c r="Q53" s="33"/>
    </row>
    <row r="54" ht="14.25">
      <c r="A54" s="29"/>
      <c r="B54" s="29"/>
      <c r="C54" s="29"/>
      <c r="D54" s="21"/>
      <c r="E54" s="21"/>
      <c r="F54" s="21"/>
      <c r="G54" s="21"/>
      <c r="H54" s="33"/>
      <c r="I54" s="33"/>
      <c r="J54" s="33"/>
      <c r="K54" s="33"/>
      <c r="L54" s="33"/>
      <c r="M54" s="33"/>
      <c r="N54" s="33"/>
      <c r="O54" s="33"/>
      <c r="P54" s="33"/>
      <c r="Q54" s="33"/>
    </row>
    <row r="55" ht="14.25">
      <c r="A55" s="29"/>
      <c r="B55" s="29"/>
      <c r="C55" s="29"/>
      <c r="D55" s="21"/>
      <c r="E55" s="21"/>
      <c r="F55" s="21"/>
      <c r="G55" s="21"/>
      <c r="H55" s="33"/>
      <c r="I55" s="33"/>
      <c r="J55" s="33"/>
      <c r="K55" s="33"/>
      <c r="L55" s="33"/>
      <c r="M55" s="33"/>
      <c r="N55" s="33"/>
      <c r="O55" s="33"/>
      <c r="P55" s="33"/>
      <c r="Q55" s="33"/>
    </row>
    <row r="56" ht="14.25">
      <c r="A56" s="29"/>
      <c r="B56" s="29"/>
      <c r="C56" s="29"/>
      <c r="D56" s="21"/>
      <c r="E56" s="21"/>
      <c r="F56" s="21"/>
      <c r="G56" s="21"/>
      <c r="H56" s="33"/>
      <c r="I56" s="33"/>
      <c r="J56" s="33"/>
      <c r="K56" s="33"/>
      <c r="L56" s="33"/>
      <c r="M56" s="33"/>
      <c r="N56" s="33"/>
      <c r="O56" s="33"/>
      <c r="P56" s="33"/>
      <c r="Q56" s="33"/>
    </row>
    <row r="57" ht="14.25">
      <c r="A57" s="29"/>
      <c r="B57" s="29"/>
      <c r="C57" s="29"/>
      <c r="D57" s="21"/>
      <c r="E57" s="21"/>
      <c r="F57" s="21"/>
      <c r="G57" s="21"/>
      <c r="H57" s="33"/>
      <c r="I57" s="33"/>
      <c r="J57" s="33"/>
      <c r="K57" s="33"/>
      <c r="L57" s="33"/>
      <c r="M57" s="33"/>
      <c r="N57" s="33"/>
      <c r="O57" s="33"/>
      <c r="P57" s="33"/>
      <c r="Q57" s="33"/>
    </row>
    <row r="58" ht="14.25">
      <c r="A58" s="29"/>
      <c r="B58" s="29"/>
      <c r="C58" s="29"/>
      <c r="D58" s="21"/>
      <c r="E58" s="21"/>
      <c r="F58" s="21"/>
      <c r="G58" s="21"/>
      <c r="H58" s="33"/>
      <c r="I58" s="33"/>
      <c r="J58" s="33"/>
      <c r="K58" s="33"/>
      <c r="L58" s="33"/>
      <c r="M58" s="33"/>
      <c r="N58" s="33"/>
      <c r="O58" s="33"/>
      <c r="P58" s="33"/>
      <c r="Q58" s="33"/>
    </row>
    <row r="59" ht="14.25">
      <c r="A59" s="29"/>
      <c r="B59" s="29"/>
      <c r="C59" s="29"/>
      <c r="D59" s="21"/>
      <c r="E59" s="21"/>
      <c r="F59" s="21"/>
      <c r="G59" s="21"/>
      <c r="H59" s="33"/>
      <c r="I59" s="33"/>
      <c r="J59" s="33"/>
      <c r="K59" s="33"/>
      <c r="L59" s="33"/>
      <c r="M59" s="33"/>
      <c r="N59" s="33"/>
      <c r="O59" s="33"/>
      <c r="P59" s="33"/>
      <c r="Q59" s="33"/>
    </row>
    <row r="60" ht="14.25">
      <c r="A60" s="29"/>
      <c r="B60" s="29"/>
      <c r="C60" s="29"/>
    </row>
    <row r="61" ht="14.25">
      <c r="A61" s="2"/>
      <c r="B61" s="2"/>
      <c r="C61" s="2"/>
      <c r="D61" s="2"/>
      <c r="E61" s="2"/>
      <c r="F61" s="2"/>
      <c r="G61" s="2"/>
      <c r="H61" s="2"/>
      <c r="I61" s="2"/>
      <c r="J61" s="2"/>
      <c r="K61" s="2"/>
      <c r="L61" s="2"/>
      <c r="M61" s="2"/>
      <c r="N61" s="2"/>
      <c r="O61" s="2"/>
      <c r="P61" s="2"/>
      <c r="Q61" s="2"/>
    </row>
    <row r="62" ht="14.25">
      <c r="A62" s="2"/>
      <c r="B62" s="2"/>
      <c r="C62" s="2"/>
      <c r="D62" s="2"/>
      <c r="E62" s="2"/>
      <c r="F62" s="2"/>
      <c r="G62" s="2"/>
      <c r="H62" s="2"/>
      <c r="I62" s="2"/>
      <c r="J62" s="2"/>
      <c r="K62" s="2"/>
      <c r="L62" s="2"/>
      <c r="M62" s="2"/>
      <c r="N62" s="2"/>
      <c r="O62" s="2"/>
      <c r="P62" s="2"/>
      <c r="Q62" s="2"/>
    </row>
    <row r="63" ht="14.25">
      <c r="A63" s="2"/>
      <c r="B63" s="2"/>
      <c r="C63" s="2"/>
      <c r="D63" s="2"/>
      <c r="E63" s="2"/>
      <c r="F63" s="2"/>
      <c r="G63" s="2"/>
      <c r="H63" s="2"/>
      <c r="I63" s="2"/>
      <c r="J63" s="2"/>
      <c r="K63" s="2"/>
      <c r="L63" s="2"/>
      <c r="M63" s="2"/>
      <c r="N63" s="2"/>
      <c r="O63" s="2"/>
      <c r="P63" s="2"/>
      <c r="Q63" s="2"/>
    </row>
    <row r="64" ht="14.25">
      <c r="A64" s="2"/>
      <c r="B64" s="2"/>
      <c r="C64" s="2"/>
      <c r="D64" s="2"/>
      <c r="E64" s="2"/>
      <c r="F64" s="2"/>
      <c r="G64" s="2"/>
      <c r="H64" s="2"/>
      <c r="I64" s="2"/>
      <c r="J64" s="2"/>
      <c r="K64" s="2"/>
      <c r="L64" s="2"/>
      <c r="M64" s="2"/>
      <c r="N64" s="2"/>
      <c r="O64" s="2"/>
      <c r="P64" s="2"/>
      <c r="Q64" s="2"/>
    </row>
    <row r="65" ht="14.25">
      <c r="A65" s="2"/>
      <c r="B65" s="2"/>
      <c r="C65" s="2"/>
      <c r="D65" s="2"/>
      <c r="E65" s="2"/>
      <c r="F65" s="2"/>
      <c r="G65" s="2"/>
      <c r="H65" s="2"/>
      <c r="I65" s="2"/>
      <c r="J65" s="2"/>
      <c r="K65" s="2"/>
      <c r="L65" s="2"/>
      <c r="M65" s="2"/>
      <c r="N65" s="2"/>
      <c r="O65" s="2"/>
      <c r="P65" s="2"/>
      <c r="Q65" s="2"/>
    </row>
    <row r="66" ht="14.25">
      <c r="A66" s="19" t="s">
        <v>37</v>
      </c>
      <c r="B66" s="34" t="s">
        <v>38</v>
      </c>
      <c r="C66" s="34" t="s">
        <v>39</v>
      </c>
      <c r="D66" s="34" t="s">
        <v>40</v>
      </c>
      <c r="E66" s="19" t="s">
        <v>41</v>
      </c>
      <c r="F66" s="34" t="s">
        <v>42</v>
      </c>
      <c r="G66" s="34" t="s">
        <v>43</v>
      </c>
      <c r="H66" s="34" t="s">
        <v>44</v>
      </c>
      <c r="I66" s="34" t="s">
        <v>13</v>
      </c>
      <c r="J66" s="34" t="s">
        <v>14</v>
      </c>
      <c r="K66" s="34" t="s">
        <v>15</v>
      </c>
      <c r="L66" s="34" t="s">
        <v>16</v>
      </c>
      <c r="M66" s="34" t="s">
        <v>45</v>
      </c>
      <c r="N66" s="34" t="s">
        <v>18</v>
      </c>
      <c r="O66" s="2"/>
      <c r="P66" s="2"/>
      <c r="Q66" s="2"/>
      <c r="R66" s="2"/>
    </row>
    <row r="67" ht="14.25">
      <c r="A67" s="19">
        <v>64</v>
      </c>
      <c r="B67" s="19">
        <v>13</v>
      </c>
      <c r="C67" s="19">
        <v>100</v>
      </c>
      <c r="D67" s="19">
        <v>416</v>
      </c>
      <c r="E67" s="19">
        <v>448</v>
      </c>
      <c r="F67" s="19">
        <v>2496</v>
      </c>
      <c r="G67" s="19">
        <v>2560</v>
      </c>
      <c r="H67" s="19">
        <v>4096</v>
      </c>
      <c r="I67" s="19">
        <v>140734244910760</v>
      </c>
      <c r="J67" s="19">
        <v>140006615715840</v>
      </c>
      <c r="K67" s="19">
        <v>140006615711744</v>
      </c>
      <c r="L67" s="19">
        <v>0</v>
      </c>
      <c r="M67" s="19">
        <v>0</v>
      </c>
      <c r="N67" s="19">
        <v>4</v>
      </c>
      <c r="O67" s="2"/>
      <c r="P67" s="2"/>
      <c r="Q67" s="2"/>
      <c r="R67" s="2"/>
    </row>
    <row r="68" ht="14.25">
      <c r="A68" s="19">
        <v>64</v>
      </c>
      <c r="B68" s="19">
        <v>25</v>
      </c>
      <c r="C68" s="19">
        <v>200</v>
      </c>
      <c r="D68" s="19">
        <v>1600</v>
      </c>
      <c r="E68" s="19">
        <v>1600</v>
      </c>
      <c r="F68" s="19">
        <v>9600</v>
      </c>
      <c r="G68" s="19">
        <v>9664</v>
      </c>
      <c r="H68" s="19">
        <v>12288</v>
      </c>
      <c r="I68" s="19">
        <v>140734244910760</v>
      </c>
      <c r="J68" s="19">
        <v>140006615715840</v>
      </c>
      <c r="K68" s="19">
        <v>140006615699456</v>
      </c>
      <c r="L68" s="19">
        <v>1</v>
      </c>
      <c r="M68" s="19">
        <v>0</v>
      </c>
      <c r="N68" s="19">
        <v>8</v>
      </c>
      <c r="O68" s="2"/>
      <c r="P68" s="2"/>
      <c r="Q68" s="2"/>
      <c r="R68" s="2"/>
    </row>
    <row r="69" ht="14.25">
      <c r="A69" s="19">
        <v>64</v>
      </c>
      <c r="B69" s="19">
        <v>16</v>
      </c>
      <c r="C69" s="19">
        <v>123</v>
      </c>
      <c r="D69" s="19">
        <v>2048</v>
      </c>
      <c r="E69" s="19">
        <v>2048</v>
      </c>
      <c r="F69" s="19">
        <v>12288</v>
      </c>
      <c r="G69" s="19">
        <v>12352</v>
      </c>
      <c r="H69" s="19">
        <v>16384</v>
      </c>
      <c r="I69" s="19">
        <v>140734244910760</v>
      </c>
      <c r="J69" s="19">
        <v>140006615715840</v>
      </c>
      <c r="K69" s="19">
        <v>140006615683072</v>
      </c>
      <c r="L69" s="19">
        <v>7</v>
      </c>
      <c r="M69" s="19">
        <v>0</v>
      </c>
      <c r="N69" s="19">
        <v>16</v>
      </c>
      <c r="O69" s="2"/>
      <c r="P69" s="2"/>
      <c r="Q69" s="2"/>
      <c r="R69" s="2"/>
    </row>
    <row r="70" ht="14.25">
      <c r="A70" s="19">
        <v>64</v>
      </c>
      <c r="B70" s="19">
        <v>38</v>
      </c>
      <c r="C70" s="19">
        <v>300</v>
      </c>
      <c r="D70" s="19">
        <v>2432</v>
      </c>
      <c r="E70" s="19">
        <v>2432</v>
      </c>
      <c r="F70" s="19">
        <v>14592</v>
      </c>
      <c r="G70" s="19">
        <v>14656</v>
      </c>
      <c r="H70" s="19">
        <v>16384</v>
      </c>
      <c r="I70" s="19">
        <v>140734244910760</v>
      </c>
      <c r="J70" s="19">
        <v>140006615715840</v>
      </c>
      <c r="K70" s="19">
        <v>140006615666688</v>
      </c>
      <c r="L70" s="19">
        <v>2</v>
      </c>
      <c r="M70" s="19">
        <v>0</v>
      </c>
      <c r="N70" s="19">
        <v>8</v>
      </c>
      <c r="O70" s="2"/>
      <c r="P70" s="2"/>
      <c r="Q70" s="2"/>
      <c r="R70" s="2"/>
    </row>
    <row r="71" ht="14.25">
      <c r="A71" s="19">
        <v>-1</v>
      </c>
      <c r="B71" s="19">
        <v>-1</v>
      </c>
      <c r="C71" s="19">
        <v>-1</v>
      </c>
      <c r="D71" s="19">
        <v>-1</v>
      </c>
      <c r="E71" s="19">
        <v>-1</v>
      </c>
      <c r="F71" s="19">
        <v>-1</v>
      </c>
      <c r="G71" s="19">
        <v>-1</v>
      </c>
      <c r="H71" s="19">
        <v>-1</v>
      </c>
      <c r="I71" s="19">
        <v>-1</v>
      </c>
      <c r="J71" s="19">
        <v>-1</v>
      </c>
      <c r="K71" s="19">
        <v>-1</v>
      </c>
      <c r="L71" s="19">
        <v>-1</v>
      </c>
      <c r="M71" s="19">
        <v>-1</v>
      </c>
      <c r="N71" s="19">
        <v>-1</v>
      </c>
      <c r="O71" s="2"/>
      <c r="P71" s="2"/>
      <c r="Q71" s="2"/>
      <c r="R71" s="2"/>
    </row>
    <row r="72" ht="14.25">
      <c r="A72" s="19">
        <v>-1</v>
      </c>
      <c r="B72" s="19">
        <v>-1</v>
      </c>
      <c r="C72" s="19">
        <v>-1</v>
      </c>
      <c r="D72" s="19">
        <v>-1</v>
      </c>
      <c r="E72" s="19">
        <v>-1</v>
      </c>
      <c r="F72" s="19">
        <v>-1</v>
      </c>
      <c r="G72" s="19">
        <v>-1</v>
      </c>
      <c r="H72" s="19">
        <v>-1</v>
      </c>
      <c r="I72" s="19">
        <v>-1</v>
      </c>
      <c r="J72" s="19">
        <v>-1</v>
      </c>
      <c r="K72" s="19">
        <v>-1</v>
      </c>
      <c r="L72" s="19">
        <v>-1</v>
      </c>
      <c r="M72" s="19">
        <v>-1</v>
      </c>
      <c r="N72" s="19">
        <v>-1</v>
      </c>
      <c r="O72" s="2"/>
      <c r="P72" s="2"/>
      <c r="Q72" s="2"/>
      <c r="R72" s="2"/>
    </row>
    <row r="73" ht="14.25">
      <c r="A73" s="19">
        <v>-1</v>
      </c>
      <c r="B73" s="19">
        <v>-1</v>
      </c>
      <c r="C73" s="19">
        <v>-1</v>
      </c>
      <c r="D73" s="19">
        <v>-1</v>
      </c>
      <c r="E73" s="19">
        <v>-1</v>
      </c>
      <c r="F73" s="19">
        <v>-1</v>
      </c>
      <c r="G73" s="19">
        <v>-1</v>
      </c>
      <c r="H73" s="19">
        <v>-1</v>
      </c>
      <c r="I73" s="19">
        <v>-1</v>
      </c>
      <c r="J73" s="19">
        <v>-1</v>
      </c>
      <c r="K73" s="19">
        <v>-1</v>
      </c>
      <c r="L73" s="19">
        <v>-1</v>
      </c>
      <c r="M73" s="19">
        <v>-1</v>
      </c>
      <c r="N73" s="19">
        <v>-1</v>
      </c>
      <c r="O73" s="2"/>
      <c r="P73" s="2"/>
      <c r="Q73" s="2"/>
      <c r="R73" s="2"/>
    </row>
    <row r="74" ht="14.25">
      <c r="A74" s="19">
        <v>-1</v>
      </c>
      <c r="B74" s="19">
        <v>-1</v>
      </c>
      <c r="C74" s="19">
        <v>-1</v>
      </c>
      <c r="D74" s="19">
        <v>-1</v>
      </c>
      <c r="E74" s="19">
        <v>-1</v>
      </c>
      <c r="F74" s="19">
        <v>-1</v>
      </c>
      <c r="G74" s="19">
        <v>-1</v>
      </c>
      <c r="H74" s="19">
        <v>-1</v>
      </c>
      <c r="I74" s="19">
        <v>-1</v>
      </c>
      <c r="J74" s="19">
        <v>-1</v>
      </c>
      <c r="K74" s="19">
        <v>-1</v>
      </c>
      <c r="L74" s="19">
        <v>-1</v>
      </c>
      <c r="M74" s="19">
        <v>-1</v>
      </c>
      <c r="N74" s="19">
        <v>-1</v>
      </c>
      <c r="O74" s="2"/>
      <c r="P74" s="2"/>
      <c r="Q74" s="2"/>
      <c r="R74" s="2"/>
    </row>
    <row r="75" ht="14.25">
      <c r="A75" s="19">
        <v>-1</v>
      </c>
      <c r="B75" s="19">
        <v>-1</v>
      </c>
      <c r="C75" s="19">
        <v>-1</v>
      </c>
      <c r="D75" s="19">
        <v>-1</v>
      </c>
      <c r="E75" s="19">
        <v>-1</v>
      </c>
      <c r="F75" s="19">
        <v>-1</v>
      </c>
      <c r="G75" s="19">
        <v>-1</v>
      </c>
      <c r="H75" s="19">
        <v>-1</v>
      </c>
      <c r="I75" s="19">
        <v>-1</v>
      </c>
      <c r="J75" s="19">
        <v>-1</v>
      </c>
      <c r="K75" s="19">
        <v>-1</v>
      </c>
      <c r="L75" s="19">
        <v>-1</v>
      </c>
      <c r="M75" s="19">
        <v>-1</v>
      </c>
      <c r="N75" s="19">
        <v>-1</v>
      </c>
      <c r="O75" s="2"/>
      <c r="P75" s="2"/>
      <c r="Q75" s="2"/>
      <c r="R75" s="2"/>
    </row>
    <row r="76" ht="14.25">
      <c r="A76" s="19"/>
      <c r="B76" s="19"/>
      <c r="C76" s="19"/>
      <c r="D76" s="19"/>
      <c r="E76" s="19"/>
      <c r="F76" s="19"/>
      <c r="G76" s="19"/>
      <c r="H76" s="19"/>
      <c r="I76" s="19"/>
      <c r="J76" s="19"/>
      <c r="K76" s="19"/>
      <c r="L76" s="19"/>
      <c r="M76" s="19"/>
      <c r="N76" s="19"/>
      <c r="O76" s="2"/>
      <c r="P76" s="2"/>
      <c r="Q76" s="2"/>
      <c r="R76" s="2"/>
    </row>
    <row r="77" ht="14.25">
      <c r="A77" s="2"/>
      <c r="B77" s="2"/>
      <c r="C77" s="2"/>
      <c r="D77" s="2"/>
      <c r="E77" t="s">
        <v>46</v>
      </c>
      <c r="F77" t="s">
        <v>47</v>
      </c>
      <c r="G77" t="s">
        <v>48</v>
      </c>
      <c r="H77" t="s">
        <v>49</v>
      </c>
      <c r="I77" t="s">
        <v>50</v>
      </c>
      <c r="J77" t="s">
        <v>51</v>
      </c>
      <c r="K77" s="34"/>
      <c r="L77" s="34"/>
      <c r="M77" s="2"/>
      <c r="N77" s="2"/>
      <c r="O77" s="2"/>
      <c r="P77" s="2"/>
      <c r="Q77" s="2"/>
    </row>
    <row r="78" ht="14.25">
      <c r="A78" s="2"/>
      <c r="B78" s="2"/>
      <c r="C78" s="2"/>
      <c r="D78" s="2"/>
      <c r="E78" s="19">
        <v>4</v>
      </c>
      <c r="F78">
        <f>C67</f>
        <v>100</v>
      </c>
      <c r="G78" s="19">
        <f>I78/6</f>
        <v>416</v>
      </c>
      <c r="H78" s="19">
        <f>C67*6</f>
        <v>600</v>
      </c>
      <c r="I78" s="19">
        <f>G67-64</f>
        <v>2496</v>
      </c>
      <c r="J78" s="19">
        <f>I78/4096</f>
        <v>0.609375</v>
      </c>
      <c r="K78" s="34"/>
      <c r="L78" s="34"/>
      <c r="M78" s="2"/>
      <c r="N78" s="2"/>
      <c r="O78" s="2"/>
      <c r="P78" s="2"/>
      <c r="Q78" s="2"/>
    </row>
    <row r="79" ht="14.25">
      <c r="A79" s="2"/>
      <c r="B79" s="2"/>
      <c r="C79" s="2"/>
      <c r="D79" s="2"/>
      <c r="E79" s="19">
        <v>8</v>
      </c>
      <c r="F79">
        <f>C68</f>
        <v>200</v>
      </c>
      <c r="G79" s="19">
        <f>I79/6</f>
        <v>1600</v>
      </c>
      <c r="H79" s="19">
        <f>C68*6</f>
        <v>1200</v>
      </c>
      <c r="I79" s="19">
        <f>G68-64</f>
        <v>9600</v>
      </c>
      <c r="J79" s="19">
        <f>I79/4096</f>
        <v>2.34375</v>
      </c>
      <c r="K79" s="34"/>
      <c r="L79" s="34"/>
      <c r="M79" s="2"/>
      <c r="N79" s="2"/>
      <c r="O79" s="2"/>
      <c r="P79" s="2"/>
      <c r="Q79" s="2"/>
    </row>
    <row r="80" ht="14.25">
      <c r="A80" s="2"/>
      <c r="B80" s="2"/>
      <c r="C80" s="2"/>
      <c r="D80" s="2"/>
      <c r="E80" s="19">
        <v>16</v>
      </c>
      <c r="F80">
        <f>C69</f>
        <v>123</v>
      </c>
      <c r="G80" s="19">
        <f>I80/6</f>
        <v>2048</v>
      </c>
      <c r="H80" s="19">
        <f>C69*6</f>
        <v>738</v>
      </c>
      <c r="I80" s="19">
        <f>G69-64</f>
        <v>12288</v>
      </c>
      <c r="J80" s="19">
        <f>I80/4096</f>
        <v>3</v>
      </c>
      <c r="K80" s="34"/>
      <c r="L80" s="34"/>
      <c r="M80" s="2"/>
      <c r="N80" s="2"/>
      <c r="O80" s="2"/>
      <c r="P80" s="2"/>
      <c r="Q80" s="2"/>
    </row>
    <row r="81" ht="14.25">
      <c r="A81" s="2"/>
      <c r="B81" s="2"/>
      <c r="C81" s="2"/>
      <c r="D81" s="2"/>
      <c r="E81" s="19">
        <v>8</v>
      </c>
      <c r="F81">
        <f>C70</f>
        <v>300</v>
      </c>
      <c r="G81" s="19">
        <f>I81/6</f>
        <v>2432</v>
      </c>
      <c r="H81" s="19">
        <f>C70*6</f>
        <v>1800</v>
      </c>
      <c r="I81" s="19">
        <f>G70-64</f>
        <v>14592</v>
      </c>
      <c r="J81" s="19">
        <f>I81/4096</f>
        <v>3.5625</v>
      </c>
      <c r="K81" s="34"/>
      <c r="L81" s="34"/>
      <c r="M81" s="2"/>
      <c r="N81" s="2"/>
      <c r="O81" s="2"/>
      <c r="P81" s="2"/>
      <c r="Q81" s="2"/>
    </row>
    <row r="82" ht="14.25">
      <c r="A82" s="34"/>
      <c r="B82" s="34"/>
      <c r="C82" s="35" t="s">
        <v>52</v>
      </c>
      <c r="D82" s="35"/>
      <c r="E82" s="34"/>
      <c r="F82" s="34"/>
      <c r="G82" s="34"/>
      <c r="H82" s="34"/>
      <c r="I82" s="34"/>
      <c r="J82" s="34"/>
      <c r="K82" s="35" t="s">
        <v>53</v>
      </c>
      <c r="L82" s="35"/>
      <c r="M82" s="2"/>
      <c r="N82" s="2"/>
      <c r="O82" s="2"/>
      <c r="P82" s="2"/>
      <c r="Q82" s="2"/>
    </row>
    <row r="83" ht="14.25">
      <c r="A83" s="34"/>
      <c r="B83" s="34"/>
      <c r="C83" s="35"/>
      <c r="D83" s="35"/>
      <c r="E83" s="34"/>
      <c r="F83" s="34"/>
      <c r="G83" s="34"/>
      <c r="H83" s="34"/>
      <c r="I83" s="34"/>
      <c r="J83" s="34"/>
      <c r="K83" s="35"/>
      <c r="L83" s="35"/>
      <c r="M83" s="2"/>
      <c r="N83" s="2"/>
      <c r="O83" s="2"/>
      <c r="P83" s="2"/>
      <c r="Q83" s="2"/>
    </row>
    <row r="84" ht="14.25">
      <c r="A84" t="s">
        <v>54</v>
      </c>
      <c r="B84" t="s">
        <v>55</v>
      </c>
      <c r="C84" s="36" t="s">
        <v>56</v>
      </c>
      <c r="D84" s="20" t="s">
        <v>57</v>
      </c>
      <c r="E84" s="20" t="s">
        <v>58</v>
      </c>
      <c r="F84" t="s">
        <v>59</v>
      </c>
      <c r="G84" t="s">
        <v>60</v>
      </c>
      <c r="H84" s="2"/>
      <c r="I84" t="s">
        <v>54</v>
      </c>
      <c r="J84" t="s">
        <v>61</v>
      </c>
      <c r="K84" s="20" t="s">
        <v>62</v>
      </c>
      <c r="L84" s="20" t="s">
        <v>57</v>
      </c>
      <c r="M84" s="20" t="s">
        <v>63</v>
      </c>
      <c r="N84" s="20" t="s">
        <v>59</v>
      </c>
      <c r="O84" t="s">
        <v>60</v>
      </c>
      <c r="P84" s="2"/>
      <c r="Q84" s="2"/>
    </row>
    <row r="85" ht="14.25">
      <c r="A85" s="19">
        <v>4</v>
      </c>
      <c r="B85">
        <f>C85*8</f>
        <v>104</v>
      </c>
      <c r="C85" s="19">
        <f>CEILING(F78/8,1)</f>
        <v>13</v>
      </c>
      <c r="D85" s="19">
        <f>C85*E78*8</f>
        <v>416</v>
      </c>
      <c r="E85" s="19">
        <f>D85-((F78/8)*A85*8)</f>
        <v>16</v>
      </c>
      <c r="F85">
        <v>4096</v>
      </c>
      <c r="G85">
        <v>1</v>
      </c>
      <c r="H85" s="2"/>
      <c r="I85" s="19">
        <v>4</v>
      </c>
      <c r="J85">
        <f>K85*8</f>
        <v>624</v>
      </c>
      <c r="K85" s="19">
        <f>C85*6</f>
        <v>78</v>
      </c>
      <c r="L85" s="19">
        <f>D85*6</f>
        <v>2496</v>
      </c>
      <c r="M85" s="19">
        <f>L85-((H78/8)*I85*8)</f>
        <v>96</v>
      </c>
      <c r="N85" s="19">
        <v>4096</v>
      </c>
      <c r="O85">
        <v>1</v>
      </c>
      <c r="P85" s="2"/>
      <c r="Q85" s="2"/>
    </row>
    <row r="86" ht="14.25">
      <c r="A86" s="19">
        <v>8</v>
      </c>
      <c r="B86">
        <f>C86*8</f>
        <v>200</v>
      </c>
      <c r="C86" s="19">
        <f>CEILING(F79/8,1)</f>
        <v>25</v>
      </c>
      <c r="D86" s="19">
        <f>C86*E79*8</f>
        <v>1600</v>
      </c>
      <c r="E86" s="19">
        <f>D86-((F79/8)*A86*8)</f>
        <v>0</v>
      </c>
      <c r="F86">
        <v>4096</v>
      </c>
      <c r="G86">
        <v>1</v>
      </c>
      <c r="H86" s="2"/>
      <c r="I86" s="19">
        <v>8</v>
      </c>
      <c r="J86">
        <f>K86*8</f>
        <v>1200</v>
      </c>
      <c r="K86" s="19">
        <f>C86*6</f>
        <v>150</v>
      </c>
      <c r="L86" s="19">
        <f>D86*6</f>
        <v>9600</v>
      </c>
      <c r="M86" s="19">
        <f>L86-((H79/8)*I86*8)</f>
        <v>0</v>
      </c>
      <c r="N86" s="20">
        <f>4096*3</f>
        <v>12288</v>
      </c>
      <c r="O86">
        <v>3</v>
      </c>
      <c r="P86" s="2"/>
      <c r="Q86" s="2"/>
    </row>
    <row r="87" ht="14.25">
      <c r="A87" s="19">
        <v>16</v>
      </c>
      <c r="B87">
        <f>C87*8</f>
        <v>128</v>
      </c>
      <c r="C87" s="19">
        <f>CEILING(F80/8,1)</f>
        <v>16</v>
      </c>
      <c r="D87" s="19">
        <f>C87*E80*8</f>
        <v>2048</v>
      </c>
      <c r="E87" s="19">
        <f>D87-((F80/8)*A87*8)</f>
        <v>80</v>
      </c>
      <c r="F87">
        <v>4096</v>
      </c>
      <c r="G87">
        <v>1</v>
      </c>
      <c r="H87" s="2"/>
      <c r="I87" s="19">
        <v>16</v>
      </c>
      <c r="J87">
        <f>K87*8</f>
        <v>768</v>
      </c>
      <c r="K87" s="19">
        <f>C87*6</f>
        <v>96</v>
      </c>
      <c r="L87" s="19">
        <f>D87*6</f>
        <v>12288</v>
      </c>
      <c r="M87" s="19">
        <f>L87-((H80/8)*I87*8)</f>
        <v>480</v>
      </c>
      <c r="N87" s="19">
        <f>4096*3</f>
        <v>12288</v>
      </c>
      <c r="O87">
        <v>3</v>
      </c>
      <c r="P87" s="2"/>
      <c r="Q87" s="2"/>
    </row>
    <row r="88" ht="14.25">
      <c r="A88" s="19">
        <v>8</v>
      </c>
      <c r="B88">
        <f>C88*8</f>
        <v>304</v>
      </c>
      <c r="C88" s="19">
        <f>CEILING(F81/8,1)</f>
        <v>38</v>
      </c>
      <c r="D88" s="19">
        <f>C88*E81*8</f>
        <v>2432</v>
      </c>
      <c r="E88" s="19">
        <f>D88-((F81/8)*A88*8)</f>
        <v>32</v>
      </c>
      <c r="F88">
        <v>4096</v>
      </c>
      <c r="G88">
        <v>1</v>
      </c>
      <c r="H88" s="2"/>
      <c r="I88" s="19">
        <v>8</v>
      </c>
      <c r="J88">
        <f>K88*8</f>
        <v>1824</v>
      </c>
      <c r="K88" s="19">
        <f>C88*6</f>
        <v>228</v>
      </c>
      <c r="L88" s="19">
        <f>D88*6</f>
        <v>14592</v>
      </c>
      <c r="M88" s="19">
        <f>L88-((H81/8)*I88*8)</f>
        <v>192</v>
      </c>
      <c r="N88" s="19">
        <f>4096*4</f>
        <v>16384</v>
      </c>
      <c r="O88">
        <v>4</v>
      </c>
      <c r="P88" s="2"/>
      <c r="Q88" s="2"/>
    </row>
    <row r="89" ht="14.25">
      <c r="A89" s="2"/>
      <c r="B89" s="2"/>
      <c r="C89" s="2"/>
      <c r="D89" s="2"/>
      <c r="E89" s="2"/>
      <c r="F89" s="2"/>
      <c r="G89" s="2"/>
      <c r="H89" s="2"/>
      <c r="I89" s="2"/>
      <c r="J89" s="2"/>
      <c r="K89" s="2"/>
      <c r="L89" s="2"/>
      <c r="M89" s="2"/>
      <c r="N89" s="2"/>
      <c r="O89" s="2"/>
      <c r="P89" s="2"/>
      <c r="Q89" s="2"/>
    </row>
    <row r="90" ht="14.25">
      <c r="A90" s="2"/>
      <c r="B90" s="2"/>
      <c r="C90" s="2"/>
      <c r="D90" s="2"/>
      <c r="E90" s="2"/>
      <c r="F90" s="2"/>
      <c r="G90" s="2"/>
      <c r="H90" s="2"/>
      <c r="I90" s="2"/>
      <c r="J90" s="2"/>
      <c r="K90" s="2"/>
      <c r="L90" s="2"/>
      <c r="M90" s="2"/>
      <c r="N90" s="2"/>
      <c r="O90" s="2"/>
      <c r="P90" s="2"/>
      <c r="Q90" s="2"/>
    </row>
    <row r="91" ht="14.25">
      <c r="A91" s="2"/>
      <c r="B91" s="2"/>
      <c r="C91" s="2"/>
      <c r="D91" s="2"/>
      <c r="E91" s="2"/>
      <c r="F91" s="2"/>
      <c r="G91" s="2"/>
      <c r="H91" s="2"/>
      <c r="I91" s="37">
        <f>64/MOD(I85*8,64)</f>
        <v>2</v>
      </c>
      <c r="J91" s="37">
        <f>L85/I91</f>
        <v>1248</v>
      </c>
      <c r="K91" s="37">
        <f>J91/6</f>
        <v>208</v>
      </c>
      <c r="L91" s="37"/>
      <c r="M91" s="37"/>
      <c r="N91" s="37"/>
      <c r="O91" s="37"/>
      <c r="P91" s="2"/>
      <c r="Q91" s="2"/>
    </row>
    <row r="92" ht="14.25">
      <c r="A92" s="37">
        <f>64/MOD(A85*8,64)</f>
        <v>2</v>
      </c>
      <c r="B92" s="37">
        <f>D85/A92</f>
        <v>208</v>
      </c>
      <c r="C92" s="37">
        <f>B92</f>
        <v>208</v>
      </c>
      <c r="D92" s="37"/>
      <c r="E92" s="37"/>
      <c r="F92" s="37"/>
      <c r="G92" s="37"/>
      <c r="H92" s="2"/>
      <c r="I92" s="37" t="e">
        <f>64/MOD(I86*8,64)</f>
        <v>#DIV/0!</v>
      </c>
      <c r="J92" s="37" t="e">
        <f>L86/I92</f>
        <v>#DIV/0!</v>
      </c>
      <c r="K92" s="37" t="e">
        <f>J92/6</f>
        <v>#DIV/0!</v>
      </c>
      <c r="L92" s="37"/>
      <c r="M92" s="37"/>
      <c r="N92" s="37"/>
      <c r="O92" s="37"/>
      <c r="P92" s="2"/>
      <c r="Q92" s="2"/>
    </row>
    <row r="93" ht="14.25">
      <c r="A93" s="37" t="e">
        <f>64/MOD(A86*8,64)</f>
        <v>#DIV/0!</v>
      </c>
      <c r="B93" s="37" t="e">
        <f>D86/A93</f>
        <v>#DIV/0!</v>
      </c>
      <c r="C93" s="37" t="e">
        <f>B93</f>
        <v>#DIV/0!</v>
      </c>
      <c r="D93" s="37"/>
      <c r="E93" s="37"/>
      <c r="F93" s="37"/>
      <c r="G93" s="37"/>
      <c r="H93" s="2"/>
      <c r="I93" s="37" t="e">
        <f>64/MOD(I87*8,64)</f>
        <v>#DIV/0!</v>
      </c>
      <c r="J93" s="37" t="e">
        <f>L87/I93</f>
        <v>#DIV/0!</v>
      </c>
      <c r="K93" s="37" t="e">
        <f>J93/6</f>
        <v>#DIV/0!</v>
      </c>
      <c r="L93" s="37"/>
      <c r="M93" s="37"/>
      <c r="N93" s="37"/>
      <c r="O93" s="37"/>
      <c r="P93" s="2"/>
      <c r="Q93" s="2"/>
    </row>
    <row r="94" ht="14.25">
      <c r="A94" s="37" t="e">
        <f>64/MOD(A87*8,64)</f>
        <v>#DIV/0!</v>
      </c>
      <c r="B94" s="37" t="e">
        <f>D87/A94</f>
        <v>#DIV/0!</v>
      </c>
      <c r="C94" s="37" t="e">
        <f>B94</f>
        <v>#DIV/0!</v>
      </c>
      <c r="D94" s="37"/>
      <c r="E94" s="37"/>
      <c r="F94" s="37"/>
      <c r="G94" s="37"/>
      <c r="H94" s="2"/>
      <c r="I94" s="37" t="e">
        <f>64/MOD(I88*8,64)</f>
        <v>#DIV/0!</v>
      </c>
      <c r="J94" s="37" t="e">
        <f>L88/I94</f>
        <v>#DIV/0!</v>
      </c>
      <c r="K94" s="37" t="e">
        <f>J94/6</f>
        <v>#DIV/0!</v>
      </c>
      <c r="L94" s="37"/>
      <c r="M94" s="37"/>
      <c r="N94" s="37"/>
      <c r="O94" s="37"/>
      <c r="P94" s="2"/>
      <c r="Q94" s="2"/>
    </row>
    <row r="95" ht="14.25">
      <c r="A95" s="37" t="e">
        <f>64/MOD(A88*8,64)</f>
        <v>#DIV/0!</v>
      </c>
      <c r="B95" s="37" t="e">
        <f>D88/A95</f>
        <v>#DIV/0!</v>
      </c>
      <c r="C95" s="37" t="e">
        <f>B95</f>
        <v>#DIV/0!</v>
      </c>
      <c r="D95" s="37"/>
      <c r="E95" s="37"/>
      <c r="F95" s="37"/>
      <c r="G95" s="37"/>
      <c r="H95" s="2"/>
      <c r="I95" s="37"/>
      <c r="J95" s="37"/>
      <c r="K95" s="37"/>
      <c r="L95" s="37"/>
      <c r="M95" s="37"/>
      <c r="N95" s="37"/>
      <c r="O95" s="37"/>
      <c r="P95" s="2"/>
      <c r="Q95" s="2"/>
    </row>
    <row r="96" ht="14.25">
      <c r="A96" s="37"/>
      <c r="B96" s="37"/>
      <c r="C96" s="37"/>
      <c r="D96" s="37"/>
      <c r="E96" s="37"/>
      <c r="F96" s="37"/>
      <c r="G96" s="37"/>
      <c r="H96" s="2"/>
      <c r="I96" s="37"/>
      <c r="J96" s="37"/>
      <c r="K96" s="37"/>
      <c r="L96" s="37"/>
      <c r="M96" s="37"/>
      <c r="N96" s="37"/>
      <c r="O96" s="37"/>
      <c r="P96" s="2"/>
      <c r="Q96" s="2"/>
    </row>
    <row r="97" ht="14.25">
      <c r="A97" s="37"/>
      <c r="B97" s="37"/>
      <c r="C97" s="37"/>
      <c r="D97" s="37"/>
      <c r="E97" s="37"/>
      <c r="F97" s="37"/>
      <c r="G97" s="37"/>
      <c r="H97" s="2"/>
      <c r="I97" s="37"/>
      <c r="J97" s="37"/>
      <c r="K97" s="37"/>
      <c r="L97" s="37"/>
      <c r="M97" s="37"/>
      <c r="N97" s="37"/>
      <c r="O97" s="37"/>
      <c r="P97" s="2"/>
      <c r="Q97" s="2"/>
    </row>
    <row r="98" ht="14.25">
      <c r="A98" s="37"/>
      <c r="B98" s="37"/>
      <c r="C98" s="37"/>
      <c r="D98" s="37"/>
      <c r="E98" s="37"/>
      <c r="F98" s="37"/>
      <c r="G98" s="37"/>
      <c r="H98" s="2"/>
      <c r="I98" s="37"/>
      <c r="J98" s="37"/>
      <c r="K98" s="37"/>
      <c r="L98" s="37"/>
      <c r="M98" s="37"/>
      <c r="N98" s="37"/>
      <c r="O98" s="37"/>
      <c r="P98" s="2"/>
      <c r="Q98" s="2"/>
    </row>
    <row r="99" ht="14.25">
      <c r="A99" s="2"/>
      <c r="B99" s="2"/>
      <c r="C99" s="2"/>
      <c r="D99" s="2"/>
      <c r="E99" s="2"/>
      <c r="F99" s="2"/>
      <c r="G99" s="2"/>
      <c r="H99" s="2"/>
      <c r="I99" s="2"/>
      <c r="J99" s="2"/>
      <c r="K99" s="2"/>
      <c r="L99" s="2"/>
      <c r="M99" s="2"/>
      <c r="N99" s="2"/>
      <c r="O99" s="2"/>
      <c r="P99" s="2"/>
      <c r="Q99" s="2"/>
    </row>
    <row r="100" ht="14.25">
      <c r="A100" s="2"/>
      <c r="B100" s="2"/>
      <c r="C100" s="2"/>
      <c r="D100" s="2"/>
      <c r="E100" s="2"/>
      <c r="F100" s="2"/>
      <c r="G100" s="2"/>
      <c r="H100" s="2"/>
      <c r="I100" s="2"/>
      <c r="J100" s="2"/>
      <c r="K100" s="2"/>
      <c r="L100" s="2"/>
      <c r="M100" s="2"/>
      <c r="N100" s="2"/>
      <c r="O100" s="2"/>
      <c r="P100" s="2"/>
      <c r="Q100" s="2"/>
    </row>
    <row r="101" ht="14.25">
      <c r="A101" s="2"/>
      <c r="B101" s="2"/>
      <c r="C101" s="2"/>
      <c r="D101" s="2"/>
      <c r="E101" s="2"/>
      <c r="F101" s="2"/>
      <c r="G101" s="2"/>
      <c r="H101" s="2"/>
      <c r="I101" s="2"/>
      <c r="J101" s="2"/>
      <c r="K101" s="2"/>
      <c r="L101" s="2"/>
      <c r="M101" s="2"/>
      <c r="N101" s="2"/>
      <c r="O101" s="2"/>
      <c r="P101" s="2"/>
      <c r="Q101" s="2"/>
    </row>
    <row r="102" ht="14.25">
      <c r="A102" s="2"/>
      <c r="B102" s="2"/>
      <c r="C102" s="2"/>
      <c r="D102" s="2"/>
      <c r="E102" s="2"/>
      <c r="F102" s="2"/>
      <c r="G102" s="2"/>
      <c r="H102" s="2"/>
      <c r="I102" s="38"/>
      <c r="J102" s="38"/>
      <c r="K102" s="2"/>
      <c r="L102" s="2"/>
      <c r="M102" s="2"/>
      <c r="N102" s="2"/>
      <c r="O102" s="2"/>
      <c r="P102" s="2"/>
      <c r="Q102" s="2"/>
    </row>
    <row r="103" ht="14.25">
      <c r="A103" s="34"/>
      <c r="B103" s="34"/>
      <c r="C103" s="35" t="s">
        <v>64</v>
      </c>
      <c r="D103" s="35"/>
      <c r="E103" s="34"/>
      <c r="F103" s="34"/>
      <c r="G103" s="34"/>
      <c r="H103" s="2"/>
      <c r="I103" s="34"/>
      <c r="J103" s="34"/>
      <c r="K103" s="35" t="s">
        <v>65</v>
      </c>
      <c r="L103" s="35"/>
      <c r="M103" s="2"/>
      <c r="N103" s="2"/>
      <c r="O103" s="2"/>
      <c r="P103" s="2"/>
      <c r="Q103" s="2"/>
    </row>
    <row r="104" ht="14.25">
      <c r="A104" s="34"/>
      <c r="B104" s="34"/>
      <c r="C104" s="35"/>
      <c r="D104" s="35"/>
      <c r="E104" s="34"/>
      <c r="F104" s="34"/>
      <c r="G104" s="34"/>
      <c r="H104" s="2"/>
      <c r="I104" s="34"/>
      <c r="J104" s="34"/>
      <c r="K104" s="35"/>
      <c r="L104" s="35"/>
      <c r="M104" s="2"/>
      <c r="N104" s="2"/>
      <c r="O104" s="2"/>
      <c r="P104" s="2"/>
      <c r="Q104" s="2"/>
    </row>
    <row r="105" ht="14.25">
      <c r="A105" t="s">
        <v>54</v>
      </c>
      <c r="B105" s="39" t="s">
        <v>55</v>
      </c>
      <c r="C105" s="39" t="s">
        <v>56</v>
      </c>
      <c r="D105" s="40" t="s">
        <v>57</v>
      </c>
      <c r="E105" s="40" t="s">
        <v>58</v>
      </c>
      <c r="F105" s="39" t="s">
        <v>59</v>
      </c>
      <c r="G105" s="39" t="s">
        <v>60</v>
      </c>
      <c r="H105" s="2"/>
      <c r="I105" t="s">
        <v>54</v>
      </c>
      <c r="J105" s="39" t="s">
        <v>61</v>
      </c>
      <c r="K105" s="40" t="s">
        <v>62</v>
      </c>
      <c r="L105" s="40" t="s">
        <v>57</v>
      </c>
      <c r="M105" s="40" t="s">
        <v>63</v>
      </c>
      <c r="N105" s="40" t="s">
        <v>59</v>
      </c>
      <c r="O105" s="39" t="s">
        <v>60</v>
      </c>
      <c r="P105" s="2"/>
      <c r="Q105" s="2"/>
    </row>
    <row r="106" ht="14.25">
      <c r="A106" s="41">
        <v>4</v>
      </c>
      <c r="B106" s="42">
        <f>E67/A106</f>
        <v>112</v>
      </c>
      <c r="C106" s="41">
        <f>CEILING(B106/8,1)</f>
        <v>14</v>
      </c>
      <c r="D106" s="41">
        <f>C106*A106*8</f>
        <v>448</v>
      </c>
      <c r="E106" s="41">
        <f>D106-((F78/8)*A106*8)</f>
        <v>48</v>
      </c>
      <c r="F106" s="42">
        <v>4096</v>
      </c>
      <c r="G106" s="42">
        <v>1</v>
      </c>
      <c r="H106" s="2"/>
      <c r="I106" s="41">
        <v>4</v>
      </c>
      <c r="J106" s="42">
        <f>B106*6</f>
        <v>672</v>
      </c>
      <c r="K106" s="41">
        <f>C106*6</f>
        <v>84</v>
      </c>
      <c r="L106" s="41">
        <f>D106*6</f>
        <v>2688</v>
      </c>
      <c r="M106" s="41">
        <f>L106-((H78/8)*I106*8)</f>
        <v>288</v>
      </c>
      <c r="N106" s="41">
        <v>4096</v>
      </c>
      <c r="O106" s="42">
        <v>1</v>
      </c>
      <c r="P106" s="2"/>
      <c r="Q106" s="2"/>
    </row>
    <row r="107" ht="14.25">
      <c r="A107" s="43">
        <v>8</v>
      </c>
      <c r="B107" s="44">
        <f>E68/A107</f>
        <v>200</v>
      </c>
      <c r="C107" s="43">
        <f>CEILING(B107/8,1)</f>
        <v>25</v>
      </c>
      <c r="D107" s="43">
        <f>A107*C107*8</f>
        <v>1600</v>
      </c>
      <c r="E107" s="43">
        <f>D107-((F79/8)*A107*8)</f>
        <v>0</v>
      </c>
      <c r="F107" s="44">
        <v>4096</v>
      </c>
      <c r="G107" s="44">
        <v>1</v>
      </c>
      <c r="H107" s="2"/>
      <c r="I107" s="43">
        <v>8</v>
      </c>
      <c r="J107" s="44">
        <f>B107*6</f>
        <v>1200</v>
      </c>
      <c r="K107" s="43">
        <f>C107*6</f>
        <v>150</v>
      </c>
      <c r="L107" s="43">
        <f>D107*6</f>
        <v>9600</v>
      </c>
      <c r="M107" s="43">
        <f>L107-((H79/8)*I107*8)</f>
        <v>0</v>
      </c>
      <c r="N107" s="43">
        <f>4096*3</f>
        <v>12288</v>
      </c>
      <c r="O107" s="44">
        <v>3</v>
      </c>
      <c r="P107" s="2"/>
      <c r="Q107" s="2"/>
    </row>
    <row r="108" ht="14.25">
      <c r="A108" s="41">
        <v>16</v>
      </c>
      <c r="B108" s="42">
        <f>E69/A108</f>
        <v>128</v>
      </c>
      <c r="C108" s="41">
        <f>CEILING(B108/8,1)</f>
        <v>16</v>
      </c>
      <c r="D108" s="41">
        <f>A108*C108*8</f>
        <v>2048</v>
      </c>
      <c r="E108" s="41">
        <f>D108-((F80/8)*A108*8)</f>
        <v>80</v>
      </c>
      <c r="F108" s="42">
        <v>4096</v>
      </c>
      <c r="G108" s="42">
        <v>1</v>
      </c>
      <c r="H108" s="2"/>
      <c r="I108" s="41">
        <v>16</v>
      </c>
      <c r="J108" s="42">
        <f>B108*6</f>
        <v>768</v>
      </c>
      <c r="K108" s="41">
        <f>C108*6</f>
        <v>96</v>
      </c>
      <c r="L108" s="41">
        <f>D108*6</f>
        <v>12288</v>
      </c>
      <c r="M108" s="41">
        <f>L108-((H80/8)*I108*8)</f>
        <v>480</v>
      </c>
      <c r="N108" s="41">
        <f>4096*3</f>
        <v>12288</v>
      </c>
      <c r="O108" s="42">
        <v>3</v>
      </c>
      <c r="P108" s="2"/>
      <c r="Q108" s="2"/>
    </row>
    <row r="109" ht="14.25">
      <c r="A109" s="43">
        <v>8</v>
      </c>
      <c r="B109" s="44">
        <f>E70/A109</f>
        <v>304</v>
      </c>
      <c r="C109" s="26">
        <f>CEILING(B109/8,1)</f>
        <v>38</v>
      </c>
      <c r="D109" s="43">
        <f>A109*C109*8</f>
        <v>2432</v>
      </c>
      <c r="E109" s="43">
        <f>D109-((F81/8)*A109*8)</f>
        <v>32</v>
      </c>
      <c r="F109" s="44">
        <v>4096</v>
      </c>
      <c r="G109" s="44">
        <v>1</v>
      </c>
      <c r="H109" s="2"/>
      <c r="I109" s="43">
        <v>8</v>
      </c>
      <c r="J109" s="44">
        <f>B109*6</f>
        <v>1824</v>
      </c>
      <c r="K109" s="43">
        <f>C109*6</f>
        <v>228</v>
      </c>
      <c r="L109" s="43">
        <f>D109*6</f>
        <v>14592</v>
      </c>
      <c r="M109" s="43">
        <f>L109-((H81/8)*I109*8)</f>
        <v>192</v>
      </c>
      <c r="N109" s="43">
        <f>4096*4</f>
        <v>16384</v>
      </c>
      <c r="O109" s="44">
        <v>4</v>
      </c>
      <c r="P109" s="2"/>
      <c r="Q109" s="2"/>
    </row>
    <row r="110" ht="14.25">
      <c r="A110" s="2"/>
      <c r="B110" s="2"/>
      <c r="C110" s="2"/>
      <c r="D110" s="2"/>
      <c r="E110" s="2"/>
      <c r="F110" s="2"/>
      <c r="G110" s="2"/>
      <c r="H110" s="2"/>
      <c r="I110" s="2"/>
      <c r="J110" s="2"/>
      <c r="K110" s="2"/>
      <c r="L110" s="2"/>
      <c r="M110" s="2"/>
      <c r="N110" s="2"/>
      <c r="O110" s="2"/>
      <c r="P110" s="2"/>
      <c r="Q110" s="2"/>
    </row>
    <row r="111" ht="14.25">
      <c r="A111" s="2"/>
      <c r="B111" s="2"/>
      <c r="C111" s="2"/>
      <c r="D111" s="2"/>
      <c r="E111" s="2"/>
      <c r="F111" s="2"/>
      <c r="G111" s="2"/>
      <c r="H111" s="45" t="s">
        <v>66</v>
      </c>
      <c r="I111" s="2"/>
      <c r="J111" s="2"/>
      <c r="K111" s="2"/>
      <c r="L111" s="2"/>
      <c r="M111" s="2"/>
      <c r="N111" s="2"/>
      <c r="O111" s="2"/>
      <c r="P111" s="2"/>
      <c r="Q111" s="2"/>
    </row>
    <row r="112" ht="14.25">
      <c r="A112" s="2"/>
      <c r="B112" s="2"/>
      <c r="C112" s="2"/>
      <c r="D112" s="2"/>
      <c r="E112" s="2"/>
      <c r="F112" s="2"/>
      <c r="G112" s="2"/>
      <c r="H112" s="46"/>
      <c r="I112" s="2"/>
      <c r="J112" s="2"/>
      <c r="K112" s="2"/>
      <c r="L112" s="2"/>
      <c r="M112" s="2"/>
      <c r="N112" s="2"/>
      <c r="O112" s="2"/>
      <c r="P112" s="2"/>
      <c r="Q112" s="2"/>
    </row>
    <row r="113" ht="14.25">
      <c r="A113" s="2"/>
      <c r="B113" s="2"/>
      <c r="C113" s="2"/>
      <c r="D113" s="2"/>
      <c r="E113" s="2"/>
      <c r="F113" s="47" t="s">
        <v>67</v>
      </c>
      <c r="G113" s="48">
        <f>E106-E85</f>
        <v>32</v>
      </c>
      <c r="H113" s="48"/>
      <c r="I113" s="48"/>
      <c r="J113" s="2"/>
      <c r="K113" s="2"/>
      <c r="L113" s="2"/>
      <c r="M113" s="2"/>
      <c r="N113" s="2"/>
      <c r="O113" s="2"/>
      <c r="P113" s="2"/>
      <c r="Q113" s="2"/>
    </row>
    <row r="114" ht="14.25">
      <c r="A114" s="2"/>
      <c r="B114" s="2"/>
      <c r="C114" s="2"/>
      <c r="D114" s="2"/>
      <c r="E114" s="2"/>
      <c r="F114" s="48"/>
      <c r="G114" s="48"/>
      <c r="H114" s="48"/>
      <c r="I114" s="48"/>
      <c r="J114" s="2"/>
      <c r="K114" s="2"/>
      <c r="L114" s="2"/>
      <c r="M114" s="2"/>
      <c r="N114" s="2"/>
      <c r="O114" s="2"/>
      <c r="P114" s="2"/>
      <c r="Q114" s="2"/>
    </row>
    <row r="115" ht="14.25">
      <c r="A115" s="2"/>
      <c r="B115" s="2"/>
      <c r="C115" s="2"/>
      <c r="D115" s="2"/>
      <c r="E115" s="2"/>
      <c r="F115" s="47" t="s">
        <v>68</v>
      </c>
      <c r="G115" s="48">
        <f>M106-M85</f>
        <v>192</v>
      </c>
      <c r="H115" s="48"/>
      <c r="I115" s="48"/>
      <c r="J115" s="2"/>
      <c r="K115" s="2"/>
      <c r="L115" s="2"/>
      <c r="M115" s="2"/>
      <c r="N115" s="2"/>
      <c r="O115" s="2"/>
      <c r="P115" s="2"/>
      <c r="Q115" s="2"/>
    </row>
    <row r="116" ht="14.25">
      <c r="A116" s="2"/>
      <c r="B116" s="2"/>
      <c r="C116" s="2"/>
      <c r="D116" s="2"/>
      <c r="E116" s="2"/>
      <c r="F116" s="48"/>
      <c r="G116" s="48"/>
      <c r="H116" s="48"/>
      <c r="I116" s="48"/>
      <c r="J116" s="2"/>
      <c r="K116" s="2"/>
      <c r="L116" s="2"/>
      <c r="M116" s="2"/>
      <c r="N116" s="2"/>
      <c r="O116" s="2"/>
      <c r="P116" s="2"/>
      <c r="Q116" s="2"/>
    </row>
    <row r="117" ht="14.25">
      <c r="A117" s="2"/>
      <c r="B117" s="2"/>
      <c r="C117" s="2"/>
      <c r="D117" s="2"/>
      <c r="E117" s="2"/>
      <c r="F117" s="48"/>
      <c r="G117" s="48"/>
      <c r="H117" s="48"/>
      <c r="I117" s="48"/>
      <c r="J117" s="2"/>
      <c r="K117" s="2"/>
      <c r="L117" s="2"/>
      <c r="M117" s="2"/>
      <c r="N117" s="2"/>
      <c r="O117" s="2"/>
      <c r="P117" s="2"/>
      <c r="Q117" s="2"/>
    </row>
    <row r="118" ht="14.25">
      <c r="A118" s="2"/>
      <c r="B118" s="2"/>
      <c r="C118" s="2"/>
      <c r="D118" s="2"/>
      <c r="E118" s="2"/>
      <c r="F118" s="2"/>
      <c r="G118" s="2"/>
      <c r="H118" s="2"/>
      <c r="I118" s="2"/>
      <c r="J118" s="2"/>
      <c r="K118" s="2"/>
      <c r="L118" s="2"/>
      <c r="M118" s="2"/>
      <c r="N118" s="2"/>
      <c r="O118" s="2"/>
      <c r="P118" s="2"/>
      <c r="Q118" s="2"/>
    </row>
    <row r="119" ht="14.25">
      <c r="A119" s="2"/>
      <c r="B119" s="2"/>
      <c r="C119" s="2"/>
      <c r="D119" s="2"/>
      <c r="E119" s="2"/>
      <c r="F119" s="2"/>
      <c r="G119" s="2"/>
      <c r="H119" s="2"/>
      <c r="I119" s="2"/>
      <c r="J119" s="2"/>
      <c r="K119" s="2"/>
      <c r="L119" s="2"/>
      <c r="M119" s="2"/>
      <c r="N119" s="2"/>
      <c r="O119" s="2"/>
      <c r="P119" s="2"/>
      <c r="Q119" s="2"/>
    </row>
    <row r="120" ht="14.25">
      <c r="A120" s="2"/>
      <c r="B120" s="2"/>
      <c r="C120" s="2"/>
      <c r="D120" s="2"/>
      <c r="E120" s="2"/>
      <c r="F120" s="30" t="s">
        <v>69</v>
      </c>
      <c r="G120" s="31"/>
      <c r="H120" s="31"/>
      <c r="I120" s="31"/>
      <c r="J120" s="2"/>
      <c r="K120" s="2"/>
      <c r="L120" s="2"/>
      <c r="M120" s="2"/>
      <c r="N120" s="2"/>
      <c r="O120" s="2"/>
      <c r="P120" s="2"/>
      <c r="Q120" s="2"/>
    </row>
    <row r="121" ht="14.25">
      <c r="A121" s="2"/>
      <c r="B121" s="2"/>
      <c r="C121" s="2"/>
      <c r="D121" s="2"/>
      <c r="E121" s="2"/>
      <c r="F121" s="31"/>
      <c r="G121" s="31"/>
      <c r="H121" s="31"/>
      <c r="I121" s="31"/>
      <c r="J121" s="2"/>
      <c r="K121" s="2"/>
      <c r="L121" s="2"/>
      <c r="M121" s="2"/>
      <c r="N121" s="2"/>
      <c r="O121" s="2"/>
      <c r="P121" s="2"/>
      <c r="Q121" s="2"/>
    </row>
    <row r="122" ht="14.25">
      <c r="A122" s="2"/>
      <c r="B122" s="2"/>
      <c r="C122" s="2"/>
      <c r="D122" s="2"/>
      <c r="E122" s="2"/>
      <c r="F122" s="2"/>
      <c r="G122" s="2"/>
      <c r="H122" s="2"/>
      <c r="I122" s="2"/>
      <c r="J122" s="2"/>
      <c r="K122" s="2"/>
      <c r="L122" s="2"/>
      <c r="M122" s="2"/>
      <c r="N122" s="2"/>
      <c r="O122" s="2"/>
      <c r="P122" s="2"/>
      <c r="Q122" s="2"/>
    </row>
    <row r="123" ht="14.25">
      <c r="A123" s="2"/>
      <c r="B123" s="2"/>
      <c r="C123" s="2"/>
      <c r="D123" s="2"/>
      <c r="E123" s="2"/>
      <c r="F123" s="2"/>
      <c r="G123" s="2"/>
      <c r="H123" s="2"/>
      <c r="I123" s="2"/>
      <c r="J123" s="2"/>
      <c r="K123" s="2"/>
      <c r="L123" s="2"/>
      <c r="M123" s="2"/>
      <c r="N123" s="2"/>
      <c r="O123" s="2"/>
      <c r="P123" s="2"/>
      <c r="Q123" s="2"/>
    </row>
    <row r="124" ht="14.25">
      <c r="A124" s="2"/>
      <c r="B124" s="2"/>
      <c r="C124" s="2"/>
      <c r="D124" s="2"/>
      <c r="E124" s="2"/>
      <c r="F124" s="2"/>
      <c r="G124" s="2"/>
      <c r="H124" s="2"/>
      <c r="I124" s="2"/>
      <c r="J124" s="2"/>
      <c r="K124" s="2"/>
      <c r="L124" s="2"/>
      <c r="M124" s="2"/>
      <c r="N124" s="2"/>
      <c r="O124" s="2"/>
      <c r="P124" s="2"/>
      <c r="Q124" s="2"/>
    </row>
    <row r="125" ht="14.25">
      <c r="A125" s="2"/>
      <c r="B125" s="2"/>
      <c r="C125" s="2"/>
      <c r="D125" s="2"/>
      <c r="E125" s="49" t="s">
        <v>70</v>
      </c>
      <c r="F125" s="49" t="s">
        <v>71</v>
      </c>
      <c r="G125" s="49" t="s">
        <v>72</v>
      </c>
      <c r="H125" s="49" t="s">
        <v>73</v>
      </c>
      <c r="I125" s="49" t="s">
        <v>74</v>
      </c>
      <c r="J125" s="50" t="s">
        <v>75</v>
      </c>
      <c r="K125" s="51" t="s">
        <v>76</v>
      </c>
      <c r="L125" s="52" t="s">
        <v>77</v>
      </c>
      <c r="M125" s="53"/>
      <c r="N125" s="2"/>
      <c r="O125" s="2"/>
      <c r="P125" s="2"/>
      <c r="Q125" s="2"/>
      <c r="R125"/>
    </row>
    <row r="126" ht="14.25">
      <c r="A126" s="2"/>
      <c r="B126" s="15"/>
      <c r="C126" s="15"/>
      <c r="D126" s="15"/>
      <c r="E126" s="54">
        <v>4</v>
      </c>
      <c r="F126" s="49" t="s">
        <v>78</v>
      </c>
      <c r="G126" s="54">
        <v>4</v>
      </c>
      <c r="H126" s="54">
        <v>4</v>
      </c>
      <c r="I126" s="54">
        <v>1</v>
      </c>
      <c r="J126" s="49" t="s">
        <v>79</v>
      </c>
      <c r="K126" s="49" t="s">
        <v>80</v>
      </c>
      <c r="L126" s="15"/>
      <c r="M126" s="15"/>
      <c r="N126" s="2"/>
      <c r="O126" s="2"/>
      <c r="P126" s="2"/>
      <c r="Q126" s="2"/>
      <c r="R126"/>
    </row>
    <row r="127" ht="14.25">
      <c r="A127" s="2"/>
      <c r="B127" s="15"/>
      <c r="C127" s="15"/>
      <c r="D127" s="15"/>
      <c r="E127" s="54">
        <v>4</v>
      </c>
      <c r="F127" s="49" t="s">
        <v>81</v>
      </c>
      <c r="G127" s="54">
        <v>0</v>
      </c>
      <c r="H127" s="54">
        <v>0</v>
      </c>
      <c r="I127" s="54">
        <v>4</v>
      </c>
      <c r="J127" s="49" t="s">
        <v>79</v>
      </c>
      <c r="K127" s="49" t="s">
        <v>82</v>
      </c>
      <c r="L127" s="15"/>
      <c r="M127" s="15"/>
      <c r="N127" s="2"/>
      <c r="O127" s="2"/>
      <c r="P127" s="2"/>
      <c r="Q127" s="2"/>
      <c r="R127"/>
    </row>
    <row r="128" ht="14.25">
      <c r="A128" s="2"/>
      <c r="B128" s="15"/>
      <c r="C128" s="15"/>
      <c r="D128" s="15"/>
      <c r="E128" s="54">
        <v>4</v>
      </c>
      <c r="F128" s="49" t="s">
        <v>78</v>
      </c>
      <c r="G128" s="54">
        <v>4</v>
      </c>
      <c r="H128" s="54">
        <v>4</v>
      </c>
      <c r="I128" s="54">
        <v>1</v>
      </c>
      <c r="J128" s="49" t="s">
        <v>79</v>
      </c>
      <c r="K128" s="49" t="s">
        <v>83</v>
      </c>
      <c r="L128" s="15"/>
      <c r="M128" s="15"/>
      <c r="N128" s="2"/>
      <c r="O128" s="2"/>
      <c r="P128" s="2"/>
      <c r="Q128" s="2"/>
      <c r="R128"/>
    </row>
    <row r="129" ht="14.25">
      <c r="A129" s="2"/>
      <c r="B129" s="15"/>
      <c r="C129" s="15"/>
      <c r="D129" s="15"/>
      <c r="E129" s="54">
        <v>4</v>
      </c>
      <c r="F129" s="49" t="s">
        <v>78</v>
      </c>
      <c r="G129" s="54">
        <v>4</v>
      </c>
      <c r="H129" s="54">
        <v>4</v>
      </c>
      <c r="I129" s="54">
        <v>1</v>
      </c>
      <c r="J129" s="49" t="s">
        <v>79</v>
      </c>
      <c r="K129" s="49" t="s">
        <v>84</v>
      </c>
      <c r="L129" s="15"/>
      <c r="M129" s="15"/>
      <c r="N129" s="2"/>
      <c r="O129" s="2"/>
      <c r="P129" s="2"/>
      <c r="Q129" s="2"/>
      <c r="R129"/>
    </row>
    <row r="130" ht="14.25">
      <c r="A130" s="2"/>
      <c r="B130" s="15"/>
      <c r="C130" s="15"/>
      <c r="D130" s="15"/>
      <c r="E130" s="54">
        <v>4</v>
      </c>
      <c r="F130" s="49" t="s">
        <v>78</v>
      </c>
      <c r="G130" s="54">
        <v>4</v>
      </c>
      <c r="H130" s="54">
        <v>4</v>
      </c>
      <c r="I130" s="54">
        <v>1</v>
      </c>
      <c r="J130" s="49" t="s">
        <v>79</v>
      </c>
      <c r="K130" s="49" t="s">
        <v>85</v>
      </c>
      <c r="L130" s="15"/>
      <c r="M130" s="15"/>
      <c r="N130" s="2"/>
      <c r="O130" s="2"/>
      <c r="P130" s="2"/>
      <c r="Q130" s="2"/>
      <c r="R130"/>
    </row>
    <row r="131" ht="14.25">
      <c r="A131" s="2"/>
      <c r="B131" s="15"/>
      <c r="C131" s="15"/>
      <c r="D131" s="15"/>
      <c r="E131" s="54">
        <v>4</v>
      </c>
      <c r="F131" s="49" t="s">
        <v>81</v>
      </c>
      <c r="G131" s="54">
        <v>1</v>
      </c>
      <c r="H131" s="54">
        <v>0</v>
      </c>
      <c r="I131" s="54">
        <v>2</v>
      </c>
      <c r="J131" s="49" t="s">
        <v>86</v>
      </c>
      <c r="K131" s="49" t="s">
        <v>87</v>
      </c>
      <c r="L131" s="15"/>
      <c r="M131" s="15"/>
      <c r="N131" s="2"/>
      <c r="O131" s="2"/>
      <c r="P131" s="2"/>
      <c r="Q131" s="2"/>
      <c r="R131"/>
    </row>
    <row r="132" ht="14.25">
      <c r="A132" s="2"/>
      <c r="B132" s="15"/>
      <c r="C132" s="15"/>
      <c r="D132" s="15"/>
      <c r="E132" s="54">
        <v>4</v>
      </c>
      <c r="F132" s="49" t="s">
        <v>81</v>
      </c>
      <c r="G132" s="54">
        <v>1</v>
      </c>
      <c r="H132" s="54">
        <v>0</v>
      </c>
      <c r="I132" s="54">
        <v>2</v>
      </c>
      <c r="J132" s="49" t="s">
        <v>86</v>
      </c>
      <c r="K132" s="49" t="s">
        <v>88</v>
      </c>
      <c r="L132" s="15"/>
      <c r="M132" s="15"/>
      <c r="N132" s="2"/>
      <c r="O132" s="2"/>
      <c r="P132" s="2"/>
      <c r="Q132" s="2"/>
      <c r="R132"/>
    </row>
    <row r="133" ht="14.25">
      <c r="A133" s="2"/>
      <c r="B133" s="15"/>
      <c r="C133" s="15"/>
      <c r="D133" s="15"/>
      <c r="E133" s="54">
        <v>4</v>
      </c>
      <c r="F133" s="55" t="s">
        <v>81</v>
      </c>
      <c r="G133" s="55">
        <v>2</v>
      </c>
      <c r="H133" s="55">
        <v>1</v>
      </c>
      <c r="I133" s="55">
        <v>1</v>
      </c>
      <c r="J133" s="55" t="s">
        <v>79</v>
      </c>
      <c r="K133" s="55" t="s">
        <v>89</v>
      </c>
      <c r="L133" s="56" t="s">
        <v>90</v>
      </c>
      <c r="M133" s="15"/>
      <c r="N133" s="2"/>
      <c r="O133" s="2"/>
      <c r="P133" s="2"/>
      <c r="Q133" s="2"/>
      <c r="R133"/>
    </row>
    <row r="134" ht="14.25">
      <c r="A134" s="2"/>
      <c r="B134" s="15"/>
      <c r="C134" s="15"/>
      <c r="D134" s="15"/>
      <c r="E134" s="54">
        <v>4</v>
      </c>
      <c r="F134" s="55" t="s">
        <v>81</v>
      </c>
      <c r="G134" s="55">
        <v>2</v>
      </c>
      <c r="H134" s="55">
        <v>1</v>
      </c>
      <c r="I134" s="55">
        <v>1</v>
      </c>
      <c r="J134" s="55" t="s">
        <v>79</v>
      </c>
      <c r="K134" s="55" t="s">
        <v>91</v>
      </c>
      <c r="L134" s="57"/>
      <c r="M134" s="15"/>
      <c r="N134" s="2"/>
      <c r="O134" s="2"/>
      <c r="P134" s="2"/>
      <c r="Q134" s="2"/>
      <c r="R134"/>
    </row>
    <row r="135" ht="14.25">
      <c r="A135" s="2"/>
      <c r="B135" s="2"/>
      <c r="C135" s="2"/>
      <c r="D135" s="2"/>
      <c r="E135" s="49" t="s">
        <v>92</v>
      </c>
      <c r="F135" s="49" t="s">
        <v>78</v>
      </c>
      <c r="G135" s="54">
        <v>5</v>
      </c>
      <c r="H135" s="54">
        <v>5</v>
      </c>
      <c r="I135" s="54">
        <v>0</v>
      </c>
      <c r="J135" s="49" t="s">
        <v>93</v>
      </c>
      <c r="K135" s="49" t="s">
        <v>94</v>
      </c>
      <c r="L135" s="2"/>
      <c r="M135" s="2"/>
      <c r="N135" s="2"/>
      <c r="O135" s="2"/>
      <c r="P135" s="2"/>
      <c r="Q135" s="2"/>
      <c r="R135"/>
    </row>
    <row r="136" ht="14.25">
      <c r="A136" s="2"/>
      <c r="B136" s="2"/>
      <c r="C136" s="2"/>
      <c r="D136" s="2"/>
      <c r="E136" s="2"/>
      <c r="F136" s="2"/>
      <c r="G136" s="2"/>
      <c r="H136" s="2"/>
      <c r="I136" s="2"/>
      <c r="J136" s="2"/>
      <c r="K136" s="2"/>
      <c r="L136" s="2"/>
      <c r="M136" s="2"/>
      <c r="N136" s="2"/>
      <c r="O136" s="2"/>
      <c r="P136" s="2"/>
      <c r="Q136" s="2"/>
    </row>
    <row r="137" ht="14.25">
      <c r="A137" s="2"/>
      <c r="B137" s="2"/>
      <c r="C137" s="2"/>
      <c r="D137" s="2"/>
      <c r="E137" s="2"/>
      <c r="F137" s="2"/>
      <c r="G137" s="2"/>
      <c r="H137" s="2"/>
      <c r="I137" s="2"/>
      <c r="J137" s="2"/>
      <c r="K137" s="2"/>
      <c r="L137" s="2"/>
      <c r="M137" s="2"/>
      <c r="N137" s="2"/>
      <c r="O137" s="2"/>
      <c r="P137" s="2"/>
      <c r="Q137" s="2"/>
    </row>
    <row r="138" ht="14.25">
      <c r="A138" s="2"/>
      <c r="B138" s="2"/>
      <c r="C138" s="2"/>
      <c r="D138" s="2"/>
      <c r="E138" s="2"/>
      <c r="F138" s="2"/>
      <c r="G138" s="2"/>
      <c r="H138" s="2"/>
      <c r="I138" s="2"/>
      <c r="J138" s="2"/>
      <c r="K138" s="2"/>
      <c r="L138" s="2"/>
      <c r="M138" s="2"/>
      <c r="N138" s="2"/>
      <c r="O138" s="2"/>
      <c r="P138" s="2"/>
      <c r="Q138" s="2"/>
    </row>
    <row r="139" ht="14.25">
      <c r="A139" s="2"/>
      <c r="B139" s="2"/>
      <c r="C139" s="2"/>
      <c r="D139" s="2"/>
      <c r="E139" s="2"/>
      <c r="F139" s="2"/>
      <c r="G139" s="58" t="s">
        <v>95</v>
      </c>
      <c r="H139" s="59" t="s">
        <v>96</v>
      </c>
      <c r="I139" s="60" t="s">
        <v>97</v>
      </c>
      <c r="J139" s="60" t="s">
        <v>98</v>
      </c>
      <c r="K139" s="60" t="s">
        <v>99</v>
      </c>
      <c r="L139" s="60" t="s">
        <v>100</v>
      </c>
      <c r="M139" s="2"/>
      <c r="N139" s="2"/>
      <c r="O139" s="2"/>
      <c r="P139" s="2"/>
      <c r="Q139" s="2"/>
    </row>
    <row r="140" ht="14.25">
      <c r="A140" s="2"/>
      <c r="B140" s="2"/>
      <c r="C140" s="2"/>
      <c r="D140" s="2"/>
      <c r="E140" s="2"/>
      <c r="F140" s="2"/>
      <c r="G140" s="61">
        <v>4</v>
      </c>
      <c r="H140" s="62">
        <v>100</v>
      </c>
      <c r="I140" s="63">
        <v>2</v>
      </c>
      <c r="J140" s="64">
        <v>0.071428571428571425</v>
      </c>
      <c r="K140" s="65">
        <v>0.035714285714285712</v>
      </c>
      <c r="L140" s="66">
        <v>1</v>
      </c>
      <c r="M140" s="2"/>
      <c r="N140" s="2"/>
      <c r="O140" s="2"/>
      <c r="P140" s="2"/>
      <c r="Q140" s="2"/>
    </row>
    <row r="141" ht="14.25">
      <c r="A141" s="2"/>
      <c r="B141" s="2"/>
      <c r="C141" s="2"/>
      <c r="D141" s="2"/>
      <c r="E141" s="2"/>
      <c r="F141" s="2"/>
      <c r="G141" s="67">
        <v>8</v>
      </c>
      <c r="H141" s="68">
        <v>200</v>
      </c>
      <c r="I141" s="68">
        <v>20</v>
      </c>
      <c r="J141" s="69">
        <v>0.20000000000000001</v>
      </c>
      <c r="K141" s="70">
        <v>0.10000000000000001</v>
      </c>
      <c r="L141" s="69">
        <v>3</v>
      </c>
      <c r="M141" s="2"/>
      <c r="N141" s="2"/>
      <c r="O141" s="2"/>
      <c r="P141" s="2"/>
      <c r="Q141" s="2"/>
    </row>
    <row r="142" ht="14.25">
      <c r="A142" s="2"/>
      <c r="B142" s="2"/>
      <c r="C142" s="2"/>
      <c r="D142" s="2"/>
      <c r="E142" s="2"/>
      <c r="F142" s="2"/>
      <c r="G142" s="71">
        <v>16</v>
      </c>
      <c r="H142" s="72">
        <v>123</v>
      </c>
      <c r="I142" s="63">
        <v>400</v>
      </c>
      <c r="J142" s="64">
        <v>3.125</v>
      </c>
      <c r="K142" s="65">
        <v>1.5625</v>
      </c>
      <c r="L142" s="66">
        <v>13</v>
      </c>
      <c r="M142" s="2"/>
      <c r="N142" s="2"/>
      <c r="O142" s="2"/>
      <c r="P142" s="2"/>
      <c r="Q142" s="2"/>
    </row>
    <row r="143" ht="14.25">
      <c r="A143" s="2"/>
      <c r="B143" s="2"/>
      <c r="C143" s="2"/>
      <c r="D143" s="2"/>
      <c r="E143" s="2"/>
      <c r="F143" s="2"/>
      <c r="G143" s="67">
        <v>8</v>
      </c>
      <c r="H143" s="68">
        <v>300</v>
      </c>
      <c r="I143" s="68">
        <v>7</v>
      </c>
      <c r="J143" s="19">
        <v>0.046052631578947366</v>
      </c>
      <c r="K143" s="19">
        <v>0.023026315789473683</v>
      </c>
      <c r="L143" s="19">
        <v>4</v>
      </c>
      <c r="M143" s="2"/>
      <c r="N143" s="2"/>
      <c r="O143" s="2"/>
      <c r="P143" s="2"/>
      <c r="Q143" s="2"/>
    </row>
    <row r="144" ht="14.25">
      <c r="A144" s="2"/>
      <c r="B144" s="2"/>
      <c r="C144" s="2"/>
      <c r="D144" s="2"/>
      <c r="E144" s="2"/>
      <c r="F144" s="2"/>
      <c r="G144" s="2"/>
      <c r="H144" s="2"/>
      <c r="I144" s="2"/>
      <c r="J144" s="2"/>
      <c r="K144" s="2"/>
      <c r="L144" s="2"/>
      <c r="M144" s="2"/>
      <c r="N144" s="2"/>
      <c r="O144" s="2"/>
      <c r="P144" s="2"/>
      <c r="Q144" s="2"/>
    </row>
    <row r="145" ht="14.25">
      <c r="A145" s="2"/>
      <c r="B145" s="2"/>
      <c r="C145" s="2"/>
      <c r="D145" s="2"/>
      <c r="E145" s="2"/>
      <c r="F145" s="2"/>
      <c r="G145" s="2"/>
      <c r="H145" s="73" t="s">
        <v>101</v>
      </c>
      <c r="I145" s="74"/>
      <c r="J145" s="74"/>
      <c r="K145" s="74"/>
      <c r="L145" s="2"/>
      <c r="M145" s="2"/>
      <c r="N145" s="2"/>
      <c r="O145" s="2"/>
      <c r="P145" s="2"/>
      <c r="Q145" s="2"/>
    </row>
    <row r="146" ht="14.25">
      <c r="A146" s="2"/>
      <c r="B146" s="2"/>
      <c r="C146" s="2"/>
      <c r="D146" s="2"/>
      <c r="E146" s="2"/>
      <c r="F146" s="2"/>
      <c r="G146" s="2"/>
      <c r="H146" s="74"/>
      <c r="I146" s="74"/>
      <c r="J146" s="74"/>
      <c r="K146" s="74"/>
      <c r="L146" s="2"/>
      <c r="M146" s="2"/>
      <c r="N146" s="2"/>
      <c r="O146" s="2"/>
      <c r="P146" s="2"/>
      <c r="Q146" s="2"/>
    </row>
    <row r="147" ht="14.25">
      <c r="A147" s="2"/>
      <c r="B147" s="2"/>
      <c r="C147" s="2"/>
      <c r="D147" s="2"/>
      <c r="E147" s="2"/>
      <c r="F147" s="2"/>
      <c r="G147" s="2"/>
      <c r="H147" s="74"/>
      <c r="I147" s="74"/>
      <c r="J147" s="74"/>
      <c r="K147" s="74"/>
      <c r="L147" s="2"/>
      <c r="M147" s="2"/>
      <c r="N147" s="2"/>
      <c r="O147" s="2"/>
      <c r="P147" s="2"/>
      <c r="Q147" s="2"/>
    </row>
    <row r="148" ht="14.25">
      <c r="A148" s="2"/>
      <c r="B148" s="2"/>
      <c r="C148" s="2"/>
      <c r="D148" s="2"/>
      <c r="E148" s="2"/>
      <c r="F148" s="2"/>
      <c r="G148" s="2"/>
      <c r="H148" s="74"/>
      <c r="I148" s="74"/>
      <c r="J148" s="74"/>
      <c r="K148" s="74"/>
      <c r="L148" s="2"/>
      <c r="M148" s="2"/>
      <c r="N148" s="2"/>
      <c r="O148" s="2"/>
      <c r="P148" s="2"/>
      <c r="Q148" s="2"/>
    </row>
    <row r="149" ht="14.25">
      <c r="A149" s="2"/>
      <c r="B149" s="2"/>
      <c r="C149" s="2"/>
      <c r="D149" s="2"/>
      <c r="E149" s="2"/>
      <c r="F149" s="2"/>
      <c r="G149" s="2"/>
      <c r="H149" s="74"/>
      <c r="I149" s="74"/>
      <c r="J149" s="74"/>
      <c r="K149" s="74"/>
      <c r="L149" s="2"/>
      <c r="M149" s="2"/>
      <c r="N149" s="2"/>
      <c r="O149" s="2"/>
      <c r="P149" s="2"/>
      <c r="Q149" s="2"/>
    </row>
    <row r="150" ht="14.25">
      <c r="A150" s="2"/>
      <c r="B150" s="2"/>
      <c r="C150" s="2"/>
      <c r="D150" s="2"/>
      <c r="E150" s="2"/>
      <c r="F150" s="2"/>
      <c r="G150" s="2"/>
      <c r="H150" s="74"/>
      <c r="I150" s="74"/>
      <c r="J150" s="74"/>
      <c r="K150" s="74"/>
      <c r="L150" s="2"/>
      <c r="M150" s="2"/>
      <c r="N150" s="2"/>
      <c r="O150" s="2"/>
      <c r="P150" s="2"/>
      <c r="Q150" s="2"/>
    </row>
    <row r="151" ht="14.25">
      <c r="A151" s="2"/>
      <c r="B151" s="2"/>
      <c r="C151" s="2"/>
      <c r="D151" s="2"/>
      <c r="E151" s="2"/>
      <c r="F151" s="2"/>
      <c r="G151" s="2"/>
      <c r="H151" s="2"/>
      <c r="I151" s="2"/>
      <c r="J151" s="2"/>
      <c r="K151" s="2"/>
      <c r="L151" s="2"/>
      <c r="M151" s="2"/>
      <c r="N151" s="2"/>
      <c r="O151" s="2"/>
      <c r="P151" s="2"/>
      <c r="Q151" s="2"/>
    </row>
    <row r="152" ht="14.25">
      <c r="A152" s="2"/>
      <c r="B152" s="2"/>
      <c r="C152" s="2"/>
      <c r="D152" s="2"/>
      <c r="E152" s="2"/>
      <c r="F152" s="2"/>
      <c r="G152" s="2"/>
      <c r="H152" s="2"/>
      <c r="I152" s="2"/>
      <c r="J152" s="2"/>
      <c r="K152" s="2"/>
      <c r="L152" s="2"/>
      <c r="M152" s="2"/>
      <c r="N152" s="2"/>
      <c r="O152" s="2"/>
      <c r="P152" s="2"/>
      <c r="Q152" s="2"/>
    </row>
    <row r="153" ht="14.25">
      <c r="A153" s="2"/>
      <c r="B153" s="2"/>
      <c r="C153" s="2"/>
      <c r="D153" s="2"/>
      <c r="E153" s="2"/>
      <c r="F153" s="2"/>
      <c r="G153" s="2"/>
      <c r="H153" s="2"/>
      <c r="I153" s="2"/>
      <c r="J153" s="2"/>
      <c r="K153" s="2"/>
      <c r="L153" s="2"/>
      <c r="M153" s="2"/>
      <c r="N153" s="2"/>
      <c r="O153" s="2"/>
      <c r="P153" s="2"/>
      <c r="Q153" s="2"/>
    </row>
    <row r="154" ht="14.25">
      <c r="A154" s="2"/>
      <c r="B154" s="2"/>
      <c r="C154" s="2"/>
      <c r="D154" s="2"/>
      <c r="E154" s="2"/>
      <c r="F154" s="2"/>
      <c r="G154" s="2"/>
      <c r="H154" s="2"/>
      <c r="I154" s="2"/>
      <c r="J154" s="2"/>
      <c r="K154" s="2"/>
      <c r="L154" s="2"/>
      <c r="M154" s="2"/>
      <c r="N154" s="2"/>
      <c r="O154" s="2"/>
      <c r="P154" s="2"/>
      <c r="Q154" s="2"/>
    </row>
    <row r="155" ht="14.25">
      <c r="A155" s="2"/>
      <c r="B155" s="2"/>
      <c r="C155" s="2"/>
      <c r="D155" s="2"/>
      <c r="E155" s="2"/>
      <c r="F155" s="2"/>
      <c r="G155" s="2"/>
      <c r="H155" s="2"/>
      <c r="I155" s="2"/>
      <c r="J155" s="2"/>
      <c r="K155" s="2"/>
      <c r="L155" s="2"/>
      <c r="M155" s="2"/>
      <c r="N155" s="2"/>
      <c r="O155" s="2"/>
      <c r="P155" s="2"/>
      <c r="Q155" s="2"/>
    </row>
    <row r="156" ht="14.25">
      <c r="A156" s="2"/>
      <c r="B156" s="2"/>
      <c r="C156" s="2"/>
      <c r="D156" s="2"/>
      <c r="E156" s="2"/>
      <c r="F156" s="2"/>
      <c r="G156" s="2"/>
      <c r="H156" s="2"/>
      <c r="I156" s="2"/>
      <c r="J156" s="2"/>
      <c r="K156" s="2"/>
      <c r="L156" s="2"/>
      <c r="M156" s="2"/>
      <c r="N156" s="2"/>
      <c r="O156" s="2"/>
      <c r="P156" s="2"/>
      <c r="Q156" s="2"/>
    </row>
    <row r="157" ht="14.25">
      <c r="A157" s="2"/>
      <c r="B157" s="2"/>
      <c r="C157" s="2"/>
      <c r="D157" s="2"/>
      <c r="E157" s="2"/>
      <c r="F157" s="2"/>
      <c r="G157" s="2"/>
      <c r="H157" s="2"/>
      <c r="I157" s="2"/>
      <c r="J157" s="2"/>
      <c r="K157" s="2"/>
      <c r="L157" s="2"/>
      <c r="M157" s="2"/>
      <c r="N157" s="2"/>
      <c r="O157" s="2"/>
      <c r="P157" s="2"/>
      <c r="Q157" s="2"/>
    </row>
    <row r="158" ht="14.25">
      <c r="A158" s="2"/>
      <c r="B158" s="2"/>
      <c r="C158" s="2"/>
      <c r="D158" s="2"/>
      <c r="E158" s="2"/>
      <c r="F158" s="2"/>
      <c r="G158" s="2"/>
      <c r="H158" s="2"/>
      <c r="I158" s="2"/>
      <c r="J158" s="2"/>
      <c r="K158" s="2"/>
      <c r="L158" s="2"/>
      <c r="M158" s="2"/>
      <c r="N158" s="2"/>
      <c r="O158" s="2"/>
      <c r="P158" s="2"/>
      <c r="Q158" s="2"/>
    </row>
    <row r="159" ht="14.25">
      <c r="A159" s="2"/>
      <c r="B159" s="2"/>
      <c r="C159" s="2"/>
      <c r="D159" s="2"/>
      <c r="E159" s="2"/>
      <c r="F159" s="2"/>
      <c r="G159" s="2"/>
      <c r="H159" s="2"/>
      <c r="I159" s="2"/>
      <c r="J159" s="2"/>
      <c r="K159" s="2"/>
      <c r="L159" s="2"/>
      <c r="M159" s="2"/>
      <c r="N159" s="2"/>
      <c r="O159" s="2"/>
      <c r="P159" s="2"/>
      <c r="Q159" s="2"/>
    </row>
    <row r="160" ht="14.25">
      <c r="A160" s="2"/>
      <c r="B160" s="2"/>
      <c r="C160" s="2"/>
      <c r="D160" s="2"/>
      <c r="E160" s="34"/>
      <c r="F160" s="34"/>
      <c r="G160" s="34"/>
      <c r="H160" s="34"/>
      <c r="I160" s="34"/>
      <c r="J160" s="34"/>
      <c r="K160" s="34"/>
      <c r="L160" s="34"/>
      <c r="M160" s="2"/>
      <c r="N160" s="2"/>
      <c r="O160" s="2"/>
      <c r="P160" s="2"/>
      <c r="Q160" s="2"/>
    </row>
    <row r="161" ht="14.25">
      <c r="A161" s="2"/>
      <c r="B161" s="2"/>
      <c r="C161" s="2"/>
      <c r="D161" s="2"/>
      <c r="E161" s="34"/>
      <c r="F161" s="75" t="s">
        <v>102</v>
      </c>
      <c r="G161" s="75" t="s">
        <v>103</v>
      </c>
      <c r="H161" t="s">
        <v>60</v>
      </c>
      <c r="I161" s="75" t="s">
        <v>104</v>
      </c>
      <c r="J161" t="s">
        <v>105</v>
      </c>
      <c r="K161" t="s">
        <v>106</v>
      </c>
      <c r="L161" s="2"/>
      <c r="M161" s="2"/>
      <c r="N161" s="2"/>
      <c r="O161" s="2"/>
      <c r="P161" s="2"/>
      <c r="Q161" s="2"/>
    </row>
    <row r="162" ht="14.25">
      <c r="A162" s="2"/>
      <c r="B162" s="2"/>
      <c r="C162" s="2"/>
      <c r="D162" s="2"/>
      <c r="E162" s="34"/>
      <c r="F162" s="76">
        <v>2</v>
      </c>
      <c r="G162" s="76">
        <v>24</v>
      </c>
      <c r="H162" s="19">
        <v>0.005859375</v>
      </c>
      <c r="I162" s="76">
        <v>16</v>
      </c>
      <c r="J162" s="19">
        <v>0.00390625</v>
      </c>
      <c r="K162" s="19">
        <v>0.001953125</v>
      </c>
      <c r="L162" s="2"/>
      <c r="M162" s="2"/>
      <c r="N162" s="2"/>
      <c r="O162" s="2"/>
      <c r="P162" s="2"/>
      <c r="Q162" s="2"/>
    </row>
    <row r="163" ht="14.25">
      <c r="A163" s="2"/>
      <c r="B163" s="2"/>
      <c r="C163" s="2"/>
      <c r="D163" s="2"/>
      <c r="E163" s="34"/>
      <c r="F163" s="68">
        <v>20</v>
      </c>
      <c r="G163" s="68">
        <v>240</v>
      </c>
      <c r="H163" s="19">
        <v>0.05859375</v>
      </c>
      <c r="I163" s="68">
        <v>160</v>
      </c>
      <c r="J163" s="19">
        <v>0.0390625</v>
      </c>
      <c r="K163" s="19">
        <v>0.01953125</v>
      </c>
      <c r="L163" s="2"/>
      <c r="M163" s="2"/>
      <c r="N163" s="2"/>
      <c r="O163" s="2"/>
      <c r="P163" s="2"/>
      <c r="Q163" s="2"/>
    </row>
    <row r="164" ht="14.25">
      <c r="A164" s="2"/>
      <c r="B164" s="2"/>
      <c r="C164" s="2"/>
      <c r="D164" s="2"/>
      <c r="E164" s="34"/>
      <c r="F164" s="68">
        <v>400</v>
      </c>
      <c r="G164" s="68">
        <v>4800</v>
      </c>
      <c r="H164" s="19">
        <v>1.171875</v>
      </c>
      <c r="I164" s="68">
        <v>3200</v>
      </c>
      <c r="J164" s="19">
        <v>0.78125</v>
      </c>
      <c r="K164" s="19">
        <v>0.390625</v>
      </c>
      <c r="L164" s="2"/>
      <c r="M164" s="2"/>
      <c r="N164" s="2"/>
      <c r="O164" s="2"/>
      <c r="P164" s="2"/>
      <c r="Q164" s="2"/>
    </row>
    <row r="165" ht="14.25">
      <c r="A165" s="2"/>
      <c r="B165" s="2"/>
      <c r="C165" s="2"/>
      <c r="D165" s="2"/>
      <c r="E165" s="34"/>
      <c r="F165" s="68">
        <v>7</v>
      </c>
      <c r="G165" s="68">
        <v>84</v>
      </c>
      <c r="H165" s="19">
        <v>0.0205078125</v>
      </c>
      <c r="I165" s="68">
        <v>56</v>
      </c>
      <c r="J165" s="19">
        <v>0.013671875</v>
      </c>
      <c r="K165" s="19">
        <v>0.0068359375</v>
      </c>
      <c r="L165" s="2"/>
      <c r="M165" s="2"/>
      <c r="N165" s="2"/>
      <c r="O165" s="2"/>
      <c r="P165" s="2"/>
      <c r="Q165" s="2"/>
    </row>
    <row r="166" ht="14.25">
      <c r="A166" s="2"/>
      <c r="B166" s="2"/>
      <c r="C166" s="2"/>
      <c r="D166" s="2"/>
      <c r="E166" s="77"/>
      <c r="F166" s="78"/>
      <c r="G166" s="34"/>
      <c r="H166" s="34"/>
      <c r="I166" s="34"/>
      <c r="J166" s="34"/>
      <c r="K166" s="34"/>
      <c r="L166" s="34"/>
      <c r="M166" s="2"/>
      <c r="N166" s="2"/>
      <c r="O166" s="2"/>
      <c r="P166" s="2"/>
      <c r="Q166" s="2"/>
    </row>
    <row r="167" ht="14.25">
      <c r="A167" s="2"/>
      <c r="B167" s="2"/>
      <c r="C167" s="2"/>
      <c r="D167" s="2"/>
      <c r="E167" s="2"/>
      <c r="F167" s="2"/>
      <c r="G167" s="2"/>
      <c r="H167" s="79" t="s">
        <v>107</v>
      </c>
      <c r="I167" t="s">
        <v>108</v>
      </c>
      <c r="J167" t="s">
        <v>109</v>
      </c>
      <c r="K167" s="34"/>
      <c r="L167" s="2"/>
      <c r="M167" s="2"/>
      <c r="N167" s="2"/>
      <c r="O167" s="2"/>
      <c r="P167" s="2"/>
    </row>
    <row r="168" ht="14.25">
      <c r="A168" s="2"/>
      <c r="B168" s="2"/>
      <c r="C168" s="2"/>
      <c r="D168" s="2"/>
      <c r="E168" s="2"/>
      <c r="F168" s="2"/>
      <c r="G168" s="2"/>
      <c r="H168" s="80">
        <v>0.046875</v>
      </c>
      <c r="I168" s="19">
        <v>0.041015625</v>
      </c>
      <c r="J168" s="19">
        <v>0.04296875</v>
      </c>
      <c r="K168" s="34"/>
      <c r="L168" s="2"/>
      <c r="M168" s="2"/>
      <c r="N168" s="2"/>
      <c r="O168" s="2"/>
      <c r="P168" s="2"/>
    </row>
    <row r="169" ht="14.25">
      <c r="A169" s="2"/>
      <c r="B169" s="2"/>
      <c r="C169" s="2"/>
      <c r="D169" s="2"/>
      <c r="E169" s="2"/>
      <c r="F169" s="2"/>
      <c r="G169" s="2"/>
      <c r="H169" s="80">
        <v>0.46875</v>
      </c>
      <c r="I169" s="19">
        <v>0.41015625</v>
      </c>
      <c r="J169" s="19">
        <v>0.4296875</v>
      </c>
      <c r="K169" s="34"/>
      <c r="L169" s="2"/>
      <c r="M169" s="2"/>
      <c r="N169" s="2"/>
      <c r="O169" s="2"/>
      <c r="P169" s="2"/>
    </row>
    <row r="170" ht="14.25">
      <c r="A170" s="2"/>
      <c r="B170" s="2"/>
      <c r="C170" s="2"/>
      <c r="D170" s="2"/>
      <c r="E170" s="2"/>
      <c r="F170" s="2"/>
      <c r="G170" s="2"/>
      <c r="H170" s="80">
        <v>9.375</v>
      </c>
      <c r="I170" s="19">
        <v>8.203125</v>
      </c>
      <c r="J170" s="19">
        <v>8.59375</v>
      </c>
      <c r="K170" s="34"/>
      <c r="L170" s="2"/>
      <c r="M170" s="2"/>
      <c r="N170" s="2"/>
      <c r="O170" s="2"/>
      <c r="P170" s="2"/>
    </row>
    <row r="171" ht="14.25">
      <c r="A171" s="2"/>
      <c r="B171" s="2"/>
      <c r="C171" s="2"/>
      <c r="D171" s="2"/>
      <c r="E171" s="2"/>
      <c r="F171" s="2"/>
      <c r="G171" s="2"/>
      <c r="H171" s="80">
        <v>0.1640625</v>
      </c>
      <c r="I171" s="19">
        <v>0.1435546875</v>
      </c>
      <c r="J171" s="19">
        <v>0.150390625</v>
      </c>
      <c r="K171" s="34"/>
      <c r="L171" s="2"/>
      <c r="M171" s="2"/>
      <c r="N171" s="2"/>
      <c r="O171" s="2"/>
      <c r="P171" s="2"/>
    </row>
    <row r="172" ht="14.25">
      <c r="A172" s="2"/>
      <c r="B172" s="2"/>
      <c r="C172" s="2"/>
      <c r="D172" s="2"/>
      <c r="E172" s="2"/>
      <c r="F172" s="2"/>
      <c r="G172" s="2"/>
      <c r="H172" s="19"/>
      <c r="I172" s="19"/>
      <c r="J172" s="19"/>
      <c r="K172" s="34"/>
      <c r="L172" s="2"/>
      <c r="M172" s="2"/>
      <c r="N172" s="2"/>
      <c r="O172" s="2"/>
      <c r="P172" s="2"/>
    </row>
    <row r="173" ht="14.25">
      <c r="A173" s="2"/>
      <c r="B173" s="2"/>
      <c r="C173" s="2"/>
      <c r="D173" s="2"/>
      <c r="E173" s="2"/>
      <c r="F173" s="2"/>
      <c r="G173" s="2"/>
      <c r="H173" s="2"/>
      <c r="I173" s="2"/>
      <c r="J173" s="2"/>
      <c r="K173" s="2"/>
      <c r="L173" s="2"/>
      <c r="M173" s="2"/>
      <c r="N173" s="2"/>
      <c r="O173" s="2"/>
      <c r="P173" s="2"/>
      <c r="Q173" s="2"/>
    </row>
    <row r="174" ht="14.25">
      <c r="A174" s="2"/>
      <c r="B174" s="2"/>
      <c r="C174" s="2"/>
      <c r="D174" s="2"/>
      <c r="E174" s="2"/>
      <c r="F174" s="2"/>
      <c r="G174" s="2"/>
      <c r="H174" s="2"/>
      <c r="I174" s="2"/>
      <c r="J174" s="2"/>
      <c r="K174" s="2"/>
      <c r="L174" s="2"/>
      <c r="M174" s="2"/>
      <c r="N174" s="2"/>
      <c r="O174" s="2"/>
      <c r="P174" s="2"/>
      <c r="Q174" s="2"/>
    </row>
    <row r="175" ht="14.25">
      <c r="A175" s="2"/>
      <c r="B175" s="2"/>
      <c r="C175" s="2"/>
      <c r="D175" s="2"/>
      <c r="E175" s="2"/>
      <c r="F175" s="45" t="s">
        <v>110</v>
      </c>
      <c r="G175" s="46"/>
      <c r="H175" s="46"/>
      <c r="I175" s="46"/>
      <c r="J175" s="46"/>
      <c r="K175" s="46"/>
      <c r="L175" s="2"/>
      <c r="M175" s="2"/>
      <c r="N175" s="2"/>
      <c r="O175" s="2"/>
      <c r="P175" s="2"/>
      <c r="Q175" s="2"/>
    </row>
    <row r="176" ht="14.25">
      <c r="A176" s="2"/>
      <c r="B176" s="2"/>
      <c r="C176" s="2"/>
      <c r="D176" s="2"/>
      <c r="E176" s="2"/>
      <c r="F176" s="46"/>
      <c r="G176" s="46"/>
      <c r="H176" s="46"/>
      <c r="I176" s="46"/>
      <c r="J176" s="46"/>
      <c r="K176" s="46"/>
      <c r="L176" s="2"/>
      <c r="M176" s="2"/>
      <c r="N176" s="2"/>
      <c r="O176" s="2"/>
      <c r="P176" s="2"/>
      <c r="Q176" s="2"/>
    </row>
    <row r="177" ht="14.25">
      <c r="A177" s="2"/>
      <c r="B177" s="2"/>
      <c r="C177" s="2"/>
      <c r="D177" s="2"/>
      <c r="E177" s="2"/>
      <c r="F177" s="46"/>
      <c r="G177" s="46"/>
      <c r="H177" s="46"/>
      <c r="I177" s="46"/>
      <c r="J177" s="46"/>
      <c r="K177" s="46"/>
      <c r="L177" s="2"/>
      <c r="M177" s="2"/>
      <c r="N177" s="2"/>
      <c r="O177" s="2"/>
      <c r="P177" s="2"/>
      <c r="Q177" s="2"/>
    </row>
    <row r="178" ht="14.25">
      <c r="A178" s="2"/>
      <c r="B178" s="2"/>
      <c r="C178" s="2"/>
      <c r="D178" s="2"/>
      <c r="E178" s="2"/>
      <c r="F178" s="46"/>
      <c r="G178" s="46"/>
      <c r="H178" s="46"/>
      <c r="I178" s="46"/>
      <c r="J178" s="46"/>
      <c r="K178" s="46"/>
      <c r="L178" s="2"/>
      <c r="M178" s="2"/>
      <c r="N178" s="2"/>
      <c r="O178" s="2"/>
      <c r="P178" s="2"/>
      <c r="Q178" s="2"/>
    </row>
    <row r="179" ht="14.25">
      <c r="A179" s="2"/>
      <c r="B179" s="2"/>
      <c r="C179" s="2"/>
      <c r="D179" s="2"/>
      <c r="E179" s="2"/>
      <c r="F179" s="46"/>
      <c r="G179" s="46"/>
      <c r="H179" s="46"/>
      <c r="I179" s="46"/>
      <c r="J179" s="46"/>
      <c r="K179" s="46"/>
      <c r="L179" s="2"/>
      <c r="M179" s="2"/>
      <c r="N179" s="2"/>
      <c r="O179" s="2"/>
      <c r="P179" s="2"/>
      <c r="Q179" s="2"/>
    </row>
    <row r="180" ht="14.25">
      <c r="A180" s="2"/>
      <c r="B180" s="2"/>
      <c r="C180" s="2"/>
      <c r="D180" s="2"/>
      <c r="E180" s="2"/>
      <c r="F180" s="46"/>
      <c r="G180" s="46"/>
      <c r="H180" s="46"/>
      <c r="I180" s="46"/>
      <c r="J180" s="46"/>
      <c r="K180" s="46"/>
      <c r="L180" s="2"/>
      <c r="M180" s="2"/>
      <c r="N180" s="2"/>
      <c r="O180" s="2"/>
      <c r="P180" s="2"/>
      <c r="Q180" s="2"/>
    </row>
    <row r="181" ht="14.25">
      <c r="A181" s="2"/>
      <c r="B181" s="2"/>
      <c r="C181" s="2"/>
      <c r="D181" s="2"/>
      <c r="E181" s="2"/>
      <c r="F181" s="2"/>
      <c r="G181" s="2"/>
      <c r="H181" s="2"/>
      <c r="I181" s="2"/>
      <c r="J181" s="2"/>
      <c r="K181" s="2"/>
      <c r="L181" s="2"/>
      <c r="M181" s="2"/>
      <c r="N181" s="2"/>
      <c r="O181" s="2"/>
      <c r="P181" s="2"/>
      <c r="Q181" s="2"/>
    </row>
    <row r="182" ht="14.25">
      <c r="A182" s="2"/>
      <c r="B182" s="2"/>
      <c r="C182" s="2"/>
      <c r="D182" s="2"/>
      <c r="E182" s="2"/>
      <c r="F182" s="2"/>
      <c r="G182" s="2"/>
      <c r="H182" s="2"/>
      <c r="I182" s="2"/>
      <c r="J182" s="2"/>
      <c r="K182" s="2"/>
      <c r="L182" s="2"/>
      <c r="M182" s="2"/>
      <c r="N182" s="2"/>
      <c r="O182" s="2"/>
      <c r="P182" s="2"/>
      <c r="Q182" s="2"/>
    </row>
    <row r="183" ht="14.25">
      <c r="A183" s="2"/>
      <c r="B183" s="2"/>
      <c r="C183" s="2"/>
      <c r="D183" s="2"/>
      <c r="E183" s="2"/>
      <c r="F183" s="2"/>
      <c r="G183" s="2"/>
      <c r="H183" s="2"/>
      <c r="I183" s="2"/>
      <c r="J183" s="2"/>
      <c r="K183" s="2"/>
      <c r="L183" s="2"/>
      <c r="M183" s="2"/>
      <c r="N183" s="2"/>
      <c r="O183" s="2"/>
      <c r="P183" s="2"/>
      <c r="Q183" s="2"/>
    </row>
    <row r="184" ht="14.25">
      <c r="A184" s="2"/>
      <c r="B184" s="2"/>
      <c r="C184" s="2"/>
      <c r="D184" s="2"/>
      <c r="E184" s="2"/>
      <c r="F184" s="2"/>
      <c r="G184" s="2"/>
      <c r="H184" s="2"/>
      <c r="I184" s="2"/>
      <c r="J184" s="2"/>
      <c r="K184" s="2"/>
      <c r="L184" s="2"/>
      <c r="M184" s="2"/>
      <c r="N184" s="2"/>
      <c r="O184" s="2"/>
      <c r="P184" s="2"/>
      <c r="Q184" s="2"/>
    </row>
    <row r="185" ht="14.25">
      <c r="A185" s="2"/>
      <c r="B185" s="2"/>
      <c r="C185" s="2"/>
      <c r="D185" s="2"/>
      <c r="E185" s="2"/>
      <c r="F185" s="2"/>
      <c r="G185" s="2"/>
      <c r="H185" s="2"/>
      <c r="I185" s="2"/>
      <c r="J185" s="2"/>
      <c r="K185" s="2"/>
      <c r="L185" s="2"/>
      <c r="M185" s="2"/>
      <c r="N185" s="2"/>
      <c r="O185" s="2"/>
      <c r="P185" s="2"/>
      <c r="Q185" s="2"/>
    </row>
    <row r="186" ht="14.25">
      <c r="A186" s="2"/>
      <c r="B186" s="2"/>
      <c r="C186" s="2"/>
      <c r="D186" s="2"/>
      <c r="E186" s="2"/>
      <c r="F186" s="2"/>
      <c r="G186" s="2"/>
      <c r="H186" s="2"/>
      <c r="I186" s="2"/>
      <c r="J186" s="2"/>
      <c r="K186" s="2"/>
      <c r="L186" s="2"/>
      <c r="M186" s="2"/>
      <c r="N186" s="2"/>
      <c r="O186" s="2"/>
      <c r="P186" s="2"/>
      <c r="Q186" s="2"/>
    </row>
    <row r="187" ht="14.25">
      <c r="A187" s="2"/>
      <c r="B187" s="2"/>
      <c r="C187" s="2"/>
      <c r="D187" s="2"/>
      <c r="E187" s="2"/>
      <c r="F187" s="2"/>
      <c r="G187" s="2"/>
      <c r="H187" s="2"/>
      <c r="I187" s="2"/>
      <c r="J187" s="2"/>
      <c r="K187" s="2"/>
      <c r="L187" s="2"/>
      <c r="M187" s="2"/>
      <c r="N187" s="2"/>
      <c r="O187" s="2"/>
      <c r="P187" s="2"/>
      <c r="Q187" s="2"/>
    </row>
    <row r="188" ht="14.25">
      <c r="A188" s="2"/>
      <c r="B188" s="2"/>
      <c r="C188" s="2"/>
      <c r="D188" s="2"/>
      <c r="E188" s="81" t="s">
        <v>95</v>
      </c>
      <c r="F188" s="19" t="s">
        <v>96</v>
      </c>
      <c r="G188" s="19" t="s">
        <v>111</v>
      </c>
      <c r="H188" s="19" t="s">
        <v>97</v>
      </c>
      <c r="I188" s="20" t="s">
        <v>112</v>
      </c>
      <c r="J188" s="19" t="s">
        <v>17</v>
      </c>
      <c r="K188" t="s">
        <v>113</v>
      </c>
      <c r="L188" s="34"/>
      <c r="M188" s="2"/>
      <c r="N188" s="2"/>
      <c r="O188" s="2"/>
      <c r="P188" s="2"/>
      <c r="Q188" s="2"/>
    </row>
    <row r="189" ht="14.25">
      <c r="A189" s="2"/>
      <c r="B189" s="2"/>
      <c r="C189" s="2"/>
      <c r="D189" s="2"/>
      <c r="E189" s="82">
        <v>4</v>
      </c>
      <c r="F189" s="19">
        <v>100</v>
      </c>
      <c r="G189" s="19">
        <f>F189*6</f>
        <v>600</v>
      </c>
      <c r="H189" s="19">
        <v>2</v>
      </c>
      <c r="I189" s="19">
        <v>16</v>
      </c>
      <c r="J189" s="19">
        <v>8192</v>
      </c>
      <c r="K189">
        <f>J189/4096</f>
        <v>2</v>
      </c>
      <c r="L189" s="34"/>
      <c r="M189" s="2"/>
      <c r="N189" s="2"/>
      <c r="O189" s="2"/>
      <c r="P189" s="2"/>
      <c r="Q189" s="2"/>
    </row>
    <row r="190" ht="14.25">
      <c r="A190" s="2"/>
      <c r="B190" s="2"/>
      <c r="C190" s="2"/>
      <c r="D190" s="2"/>
      <c r="E190" s="83">
        <v>8</v>
      </c>
      <c r="F190" s="19">
        <v>200</v>
      </c>
      <c r="G190" s="19">
        <f>F190*6</f>
        <v>1200</v>
      </c>
      <c r="H190" s="19">
        <v>20</v>
      </c>
      <c r="I190" s="19">
        <v>160</v>
      </c>
      <c r="J190" s="19">
        <v>20480</v>
      </c>
      <c r="K190">
        <f>J190/4096</f>
        <v>5</v>
      </c>
      <c r="L190" s="34"/>
      <c r="M190" s="2"/>
      <c r="N190" s="2"/>
      <c r="O190" s="2"/>
      <c r="P190" s="2"/>
      <c r="Q190" s="2"/>
    </row>
    <row r="191" ht="14.25">
      <c r="A191" s="2"/>
      <c r="B191" s="2"/>
      <c r="C191" s="2"/>
      <c r="D191" s="2"/>
      <c r="E191" s="84">
        <v>16</v>
      </c>
      <c r="F191" s="19">
        <v>123</v>
      </c>
      <c r="G191" s="19">
        <f>F191*6</f>
        <v>738</v>
      </c>
      <c r="H191" s="19">
        <v>400</v>
      </c>
      <c r="I191" s="19">
        <v>3200</v>
      </c>
      <c r="J191" s="19">
        <v>28672</v>
      </c>
      <c r="K191">
        <f>J191/4096</f>
        <v>7</v>
      </c>
      <c r="L191" s="34"/>
      <c r="M191" s="2"/>
      <c r="N191" s="2"/>
      <c r="O191" s="2"/>
      <c r="P191" s="2"/>
      <c r="Q191" s="2"/>
    </row>
    <row r="192" ht="14.25">
      <c r="A192" s="2"/>
      <c r="B192" s="2"/>
      <c r="C192" s="2"/>
      <c r="D192" s="2"/>
      <c r="E192" s="83">
        <v>8</v>
      </c>
      <c r="F192" s="19">
        <v>300</v>
      </c>
      <c r="G192" s="19">
        <f>F192*6</f>
        <v>1800</v>
      </c>
      <c r="H192" s="19">
        <v>7</v>
      </c>
      <c r="I192" s="19">
        <v>56</v>
      </c>
      <c r="J192" s="19">
        <v>32768</v>
      </c>
      <c r="K192">
        <f>J192/4096</f>
        <v>8</v>
      </c>
      <c r="L192" s="34"/>
      <c r="M192" s="2"/>
      <c r="N192" s="2"/>
      <c r="O192" s="2"/>
      <c r="P192" s="2"/>
      <c r="Q192" s="2"/>
    </row>
    <row r="193" ht="14.25">
      <c r="A193" s="2"/>
      <c r="B193" s="2"/>
      <c r="C193" s="2"/>
      <c r="D193" s="2"/>
      <c r="E193" s="2"/>
      <c r="F193" s="2"/>
      <c r="G193" s="2"/>
      <c r="H193" s="2"/>
      <c r="I193" s="2"/>
      <c r="J193" s="2"/>
      <c r="K193" s="2"/>
      <c r="L193" s="2"/>
      <c r="M193" s="2"/>
      <c r="N193" s="2"/>
      <c r="O193" s="2"/>
      <c r="P193" s="2"/>
      <c r="Q193" s="2"/>
    </row>
    <row r="194" ht="14.25">
      <c r="A194" s="2"/>
      <c r="B194" s="2"/>
      <c r="C194" s="2"/>
      <c r="D194" s="2"/>
      <c r="E194" s="2"/>
      <c r="F194" s="2"/>
      <c r="G194" s="2"/>
      <c r="H194" s="2"/>
      <c r="I194" s="2"/>
      <c r="J194" s="2"/>
      <c r="K194" s="2"/>
      <c r="L194" s="2"/>
      <c r="M194" s="2"/>
      <c r="N194" s="2"/>
      <c r="O194" s="2"/>
      <c r="P194" s="2"/>
      <c r="Q194" s="2"/>
    </row>
    <row r="195" ht="14.25">
      <c r="A195" s="2"/>
      <c r="B195" s="2"/>
      <c r="C195" s="2"/>
      <c r="D195" s="2"/>
      <c r="E195" s="2"/>
      <c r="F195" s="2"/>
      <c r="G195" s="2"/>
      <c r="H195" s="2"/>
      <c r="I195" s="2"/>
      <c r="J195" s="2"/>
      <c r="K195" s="2"/>
      <c r="L195" s="2"/>
      <c r="M195" s="2"/>
      <c r="N195" s="2"/>
      <c r="O195" s="2"/>
      <c r="P195" s="2"/>
      <c r="Q195" s="2"/>
    </row>
    <row r="196" ht="14.25">
      <c r="A196" s="2"/>
      <c r="B196" s="2"/>
      <c r="C196" s="2"/>
      <c r="D196" s="2"/>
      <c r="E196" s="2"/>
      <c r="F196" s="85" t="s">
        <v>114</v>
      </c>
      <c r="G196" s="85" t="s">
        <v>115</v>
      </c>
      <c r="H196" s="85" t="s">
        <v>116</v>
      </c>
      <c r="I196" s="85" t="s">
        <v>117</v>
      </c>
      <c r="J196" s="85" t="s">
        <v>118</v>
      </c>
      <c r="K196" s="2"/>
      <c r="L196" s="2"/>
      <c r="M196" s="2"/>
      <c r="N196" s="2"/>
      <c r="O196" s="2"/>
      <c r="P196" s="2"/>
      <c r="Q196" s="2"/>
    </row>
    <row r="197" ht="14.25">
      <c r="A197" s="2"/>
      <c r="B197" s="2"/>
      <c r="C197" s="2"/>
      <c r="D197" s="2"/>
      <c r="E197" s="2"/>
      <c r="F197" s="86">
        <v>1</v>
      </c>
      <c r="G197" s="85" t="s">
        <v>119</v>
      </c>
      <c r="H197" s="86" t="s">
        <v>120</v>
      </c>
      <c r="I197" s="85" t="s">
        <v>121</v>
      </c>
      <c r="J197" s="86">
        <v>1</v>
      </c>
      <c r="K197" s="2"/>
      <c r="L197" s="2"/>
      <c r="M197" s="2"/>
      <c r="N197" s="2"/>
      <c r="O197" s="2"/>
      <c r="P197" s="2"/>
      <c r="Q197" s="2"/>
    </row>
    <row r="198" ht="14.25">
      <c r="A198" s="2"/>
      <c r="B198" s="2"/>
      <c r="C198" s="2"/>
      <c r="D198" s="2"/>
      <c r="E198" s="2"/>
      <c r="F198" s="86">
        <v>2</v>
      </c>
      <c r="G198" s="85" t="s">
        <v>122</v>
      </c>
      <c r="H198" s="86" t="s">
        <v>123</v>
      </c>
      <c r="I198" s="85" t="s">
        <v>124</v>
      </c>
      <c r="J198" s="86">
        <v>3</v>
      </c>
      <c r="K198" s="2"/>
      <c r="L198" s="2"/>
      <c r="M198" s="2"/>
      <c r="N198" s="2"/>
      <c r="O198" s="2"/>
      <c r="P198" s="2"/>
      <c r="Q198" s="2"/>
    </row>
    <row r="199" ht="14.25">
      <c r="A199" s="2"/>
      <c r="B199" s="2"/>
      <c r="C199" s="2"/>
      <c r="D199" s="2"/>
      <c r="E199" s="2"/>
      <c r="F199" s="86">
        <v>3</v>
      </c>
      <c r="G199" s="85" t="s">
        <v>125</v>
      </c>
      <c r="H199" s="86" t="s">
        <v>126</v>
      </c>
      <c r="I199" s="85" t="s">
        <v>127</v>
      </c>
      <c r="J199" s="86">
        <v>5</v>
      </c>
      <c r="K199" s="2"/>
      <c r="L199" s="2"/>
      <c r="M199" s="2"/>
      <c r="N199" s="2"/>
      <c r="O199" s="2"/>
      <c r="P199" s="2"/>
      <c r="Q199" s="2"/>
    </row>
    <row r="200" ht="14.25">
      <c r="A200" s="2"/>
      <c r="B200" s="2"/>
      <c r="C200" s="2"/>
      <c r="D200" s="2"/>
      <c r="E200" s="2"/>
      <c r="F200" s="86">
        <v>4</v>
      </c>
      <c r="G200" s="85" t="s">
        <v>128</v>
      </c>
      <c r="H200" s="86" t="s">
        <v>129</v>
      </c>
      <c r="I200" s="85" t="s">
        <v>127</v>
      </c>
      <c r="J200" s="86">
        <v>5</v>
      </c>
      <c r="K200" s="2"/>
      <c r="L200" s="2"/>
      <c r="M200" s="2"/>
      <c r="N200" s="2"/>
      <c r="O200" s="2"/>
      <c r="P200" s="2"/>
      <c r="Q200" s="2"/>
    </row>
    <row r="201" ht="14.25">
      <c r="A201" s="2"/>
      <c r="B201" s="2"/>
      <c r="C201" s="2"/>
      <c r="D201" s="2"/>
      <c r="E201" s="2"/>
      <c r="F201" s="2"/>
      <c r="G201" s="2"/>
      <c r="H201" s="2"/>
      <c r="I201" s="2"/>
      <c r="J201" s="2"/>
      <c r="K201" s="2"/>
      <c r="L201" s="2"/>
      <c r="M201" s="2"/>
      <c r="N201" s="2"/>
      <c r="O201" s="2"/>
      <c r="P201" s="2"/>
      <c r="Q201" s="2"/>
    </row>
    <row r="202" ht="14.25">
      <c r="A202" s="2"/>
      <c r="B202" s="2"/>
      <c r="C202" s="2"/>
      <c r="D202" s="2"/>
      <c r="E202" s="2"/>
      <c r="F202" s="2"/>
      <c r="G202" s="2"/>
      <c r="H202" s="2"/>
      <c r="I202" s="2"/>
      <c r="J202" s="2"/>
      <c r="K202" s="2"/>
      <c r="L202" s="2"/>
      <c r="M202" s="2"/>
      <c r="N202" s="2"/>
      <c r="O202" s="2"/>
      <c r="P202" s="2"/>
      <c r="Q202" s="2"/>
    </row>
    <row r="203" ht="14.25">
      <c r="A203" s="2"/>
      <c r="B203" s="2"/>
      <c r="C203" s="2"/>
      <c r="D203" s="2"/>
      <c r="E203" s="87" t="s">
        <v>130</v>
      </c>
      <c r="F203" s="87" t="s">
        <v>131</v>
      </c>
      <c r="G203" s="87" t="s">
        <v>132</v>
      </c>
      <c r="H203" s="87" t="s">
        <v>133</v>
      </c>
      <c r="I203" s="87" t="s">
        <v>134</v>
      </c>
      <c r="J203" s="87" t="s">
        <v>135</v>
      </c>
      <c r="K203" s="2"/>
      <c r="L203" s="2"/>
      <c r="M203" s="2"/>
      <c r="N203" s="2"/>
      <c r="O203" s="2"/>
      <c r="P203" s="2"/>
      <c r="Q203" s="2"/>
    </row>
    <row r="204" ht="14.25">
      <c r="A204" s="2"/>
      <c r="B204" s="2"/>
      <c r="C204" s="2"/>
      <c r="D204" s="2"/>
      <c r="E204" s="88">
        <v>100</v>
      </c>
      <c r="F204" s="88">
        <v>600</v>
      </c>
      <c r="G204" s="88">
        <f>600*4</f>
        <v>2400</v>
      </c>
      <c r="H204" s="88">
        <v>2432</v>
      </c>
      <c r="I204" s="88">
        <v>4096</v>
      </c>
      <c r="J204" s="88">
        <v>1</v>
      </c>
      <c r="K204" s="2"/>
      <c r="L204" s="2"/>
      <c r="M204" s="2"/>
      <c r="N204" s="2"/>
      <c r="O204" s="2"/>
      <c r="P204" s="2"/>
      <c r="Q204" s="2"/>
    </row>
    <row r="205" ht="14.25">
      <c r="A205" s="2"/>
      <c r="B205" s="2"/>
      <c r="C205" s="2"/>
      <c r="D205" s="2"/>
      <c r="E205" s="88">
        <v>200</v>
      </c>
      <c r="F205" s="88">
        <v>1200</v>
      </c>
      <c r="G205" s="88">
        <f>1200*8</f>
        <v>9600</v>
      </c>
      <c r="H205" s="88">
        <v>9600</v>
      </c>
      <c r="I205" s="88">
        <f>4096*3</f>
        <v>12288</v>
      </c>
      <c r="J205" s="88">
        <v>3</v>
      </c>
      <c r="K205" s="2"/>
      <c r="L205" s="2"/>
      <c r="M205" s="2"/>
      <c r="N205" s="2"/>
      <c r="O205" s="2"/>
      <c r="P205" s="2"/>
      <c r="Q205" s="2"/>
    </row>
    <row r="206" ht="14.25">
      <c r="A206" s="2"/>
      <c r="B206" s="2"/>
      <c r="C206" s="2"/>
      <c r="D206" s="2"/>
      <c r="E206" s="88">
        <v>123</v>
      </c>
      <c r="F206" s="88">
        <v>738</v>
      </c>
      <c r="G206" s="88">
        <f>738*16</f>
        <v>11808</v>
      </c>
      <c r="H206" s="88">
        <v>11840</v>
      </c>
      <c r="I206" s="88">
        <f>4096*4</f>
        <v>16384</v>
      </c>
      <c r="J206" s="88">
        <v>4</v>
      </c>
      <c r="K206" s="2"/>
      <c r="L206" s="2"/>
      <c r="M206" s="2"/>
      <c r="N206" s="2"/>
      <c r="O206" s="2"/>
      <c r="P206" s="2"/>
      <c r="Q206" s="2"/>
    </row>
    <row r="207" ht="14.25">
      <c r="A207" s="2"/>
      <c r="B207" s="2"/>
      <c r="C207" s="2"/>
      <c r="D207" s="2"/>
      <c r="E207" s="88">
        <v>300</v>
      </c>
      <c r="F207" s="88">
        <v>1800</v>
      </c>
      <c r="G207" s="88">
        <f>1800*8</f>
        <v>14400</v>
      </c>
      <c r="H207" s="88">
        <v>14400</v>
      </c>
      <c r="I207" s="88">
        <f>4096*4</f>
        <v>16384</v>
      </c>
      <c r="J207" s="88">
        <v>4</v>
      </c>
      <c r="K207" s="2"/>
      <c r="L207" s="2"/>
      <c r="M207" s="2"/>
      <c r="N207" s="2"/>
      <c r="O207" s="2"/>
      <c r="P207" s="2"/>
      <c r="Q207" s="2"/>
    </row>
    <row r="208" ht="14.25">
      <c r="A208" s="2"/>
      <c r="B208" s="2"/>
      <c r="C208" s="2"/>
      <c r="D208" s="2"/>
      <c r="E208" s="88"/>
      <c r="F208" s="88"/>
      <c r="G208" s="88"/>
      <c r="H208" s="88"/>
      <c r="I208" s="88"/>
      <c r="J208" s="88"/>
      <c r="K208" s="2"/>
      <c r="L208" s="2"/>
      <c r="M208" s="2"/>
      <c r="N208" s="2"/>
      <c r="O208" s="2"/>
      <c r="P208" s="2"/>
      <c r="Q208" s="2"/>
    </row>
    <row r="209" ht="14.25">
      <c r="A209" s="2"/>
      <c r="B209" s="2"/>
      <c r="C209" s="2"/>
      <c r="D209" s="2"/>
      <c r="E209" s="73" t="s">
        <v>136</v>
      </c>
      <c r="F209" s="74"/>
      <c r="G209" s="74"/>
      <c r="H209" s="74"/>
      <c r="I209" s="74"/>
      <c r="J209" s="74"/>
      <c r="K209" s="2"/>
      <c r="L209" s="2"/>
      <c r="M209" s="2"/>
      <c r="N209" s="2"/>
      <c r="O209" s="2"/>
      <c r="P209" s="2"/>
      <c r="Q209" s="2"/>
    </row>
    <row r="210" ht="14.25">
      <c r="A210" s="2"/>
      <c r="B210" s="2"/>
      <c r="C210" s="2"/>
      <c r="D210" s="2"/>
      <c r="E210" s="2"/>
      <c r="F210" s="2"/>
      <c r="G210" s="2"/>
      <c r="H210" s="2"/>
      <c r="I210" s="2"/>
      <c r="J210" s="2"/>
      <c r="K210" s="2"/>
      <c r="L210" s="2"/>
      <c r="M210" s="2"/>
      <c r="N210" s="2"/>
      <c r="O210" s="2"/>
      <c r="P210" s="2"/>
      <c r="Q210" s="2"/>
    </row>
    <row r="211" ht="14.25">
      <c r="A211" s="2"/>
      <c r="B211" s="2"/>
      <c r="C211" s="2"/>
      <c r="D211" s="2"/>
      <c r="E211" s="2"/>
      <c r="F211" s="2"/>
      <c r="G211" s="2"/>
      <c r="H211" s="2"/>
      <c r="I211" s="2"/>
      <c r="J211" s="2"/>
      <c r="K211" s="2"/>
      <c r="L211" s="2"/>
      <c r="M211" s="2"/>
      <c r="N211" s="2"/>
      <c r="O211" s="2"/>
      <c r="P211" s="2"/>
      <c r="Q211" s="2"/>
    </row>
    <row r="212" ht="14.25">
      <c r="A212" s="2"/>
      <c r="B212" s="2"/>
      <c r="C212" s="2"/>
      <c r="D212" s="2"/>
      <c r="E212" s="89" t="s">
        <v>137</v>
      </c>
      <c r="F212" s="89"/>
      <c r="G212" s="89"/>
      <c r="H212" s="89"/>
      <c r="I212" s="89"/>
      <c r="J212" s="89"/>
      <c r="K212" s="2"/>
      <c r="L212" s="2"/>
      <c r="M212" s="2"/>
      <c r="N212" s="2"/>
      <c r="O212" s="2"/>
      <c r="P212" s="2"/>
      <c r="Q212" s="2"/>
    </row>
    <row r="213" ht="14.25">
      <c r="A213" s="2"/>
      <c r="B213" s="2"/>
      <c r="C213" s="2"/>
      <c r="D213" s="2"/>
      <c r="E213" s="89"/>
      <c r="F213" s="89"/>
      <c r="G213" s="89"/>
      <c r="H213" s="89"/>
      <c r="I213" s="89"/>
      <c r="J213" s="89"/>
      <c r="K213" s="2"/>
      <c r="L213" s="2"/>
      <c r="M213" s="2"/>
      <c r="N213" s="2"/>
      <c r="O213" s="2"/>
      <c r="P213" s="2"/>
      <c r="Q213" s="2"/>
    </row>
    <row r="214" ht="14.25">
      <c r="A214" s="2"/>
      <c r="B214" s="2"/>
      <c r="C214" s="2"/>
      <c r="D214" s="2"/>
      <c r="E214" s="19" t="s">
        <v>138</v>
      </c>
      <c r="F214" s="19" t="s">
        <v>96</v>
      </c>
      <c r="G214" t="s">
        <v>139</v>
      </c>
      <c r="H214" t="s">
        <v>140</v>
      </c>
      <c r="I214" t="s">
        <v>141</v>
      </c>
      <c r="J214" t="s">
        <v>142</v>
      </c>
      <c r="K214" s="2"/>
      <c r="L214" s="2"/>
      <c r="M214" s="2"/>
      <c r="N214" s="2"/>
      <c r="O214" s="2"/>
      <c r="P214" s="2"/>
      <c r="Q214" s="2"/>
    </row>
    <row r="215" ht="14.25">
      <c r="A215" s="2"/>
      <c r="B215" s="2"/>
      <c r="C215" s="2"/>
      <c r="D215" s="2"/>
      <c r="E215" s="19">
        <v>4</v>
      </c>
      <c r="F215" s="19">
        <v>100</v>
      </c>
      <c r="G215" s="19">
        <f>F215*6</f>
        <v>600</v>
      </c>
      <c r="H215" s="19">
        <v>2</v>
      </c>
      <c r="I215" s="19">
        <v>4096</v>
      </c>
      <c r="J215" s="19">
        <f>I215/4096</f>
        <v>1</v>
      </c>
      <c r="K215" s="2"/>
      <c r="L215" s="2"/>
      <c r="M215" s="2"/>
      <c r="N215" s="2"/>
      <c r="O215" s="2"/>
      <c r="P215" s="2"/>
      <c r="Q215" s="2"/>
    </row>
    <row r="216" ht="14.25">
      <c r="A216" s="2"/>
      <c r="B216" s="2"/>
      <c r="C216" s="2"/>
      <c r="D216" s="2"/>
      <c r="E216" s="19">
        <v>8</v>
      </c>
      <c r="F216" s="19">
        <v>200</v>
      </c>
      <c r="G216" s="19">
        <f>F216*6</f>
        <v>1200</v>
      </c>
      <c r="H216" s="19">
        <v>20</v>
      </c>
      <c r="I216" s="19">
        <v>12288</v>
      </c>
      <c r="J216" s="19">
        <f>I216/4096</f>
        <v>3</v>
      </c>
      <c r="K216" s="2"/>
      <c r="L216" s="2"/>
      <c r="M216" s="2"/>
      <c r="N216" s="2"/>
      <c r="O216" s="2"/>
      <c r="P216" s="2"/>
      <c r="Q216" s="2"/>
    </row>
    <row r="217" ht="14.25">
      <c r="A217" s="2"/>
      <c r="B217" s="2"/>
      <c r="C217" s="2"/>
      <c r="D217" s="2"/>
      <c r="E217" s="19">
        <v>16</v>
      </c>
      <c r="F217" s="19">
        <v>123</v>
      </c>
      <c r="G217" s="19">
        <f>F217*6</f>
        <v>738</v>
      </c>
      <c r="H217" s="19">
        <v>400</v>
      </c>
      <c r="I217" s="19">
        <v>16384</v>
      </c>
      <c r="J217" s="19">
        <f>I217/4096</f>
        <v>4</v>
      </c>
      <c r="K217" s="2"/>
      <c r="L217" s="2"/>
      <c r="M217" s="2"/>
      <c r="N217" s="2"/>
      <c r="O217" s="2"/>
      <c r="P217" s="2"/>
      <c r="Q217" s="2"/>
    </row>
    <row r="218" ht="14.25">
      <c r="A218" s="2"/>
      <c r="B218" s="2"/>
      <c r="C218" s="2"/>
      <c r="D218" s="2"/>
      <c r="E218" s="19">
        <v>8</v>
      </c>
      <c r="F218" s="19">
        <v>300</v>
      </c>
      <c r="G218" s="19">
        <f>F218*6</f>
        <v>1800</v>
      </c>
      <c r="H218" s="19">
        <v>7</v>
      </c>
      <c r="I218" s="19">
        <v>16384</v>
      </c>
      <c r="J218" s="19">
        <f>I218/4096</f>
        <v>4</v>
      </c>
      <c r="K218" s="2"/>
      <c r="L218" s="2"/>
      <c r="M218" s="2"/>
      <c r="N218" s="2"/>
      <c r="O218" s="2"/>
      <c r="P218" s="2"/>
      <c r="Q218" s="2"/>
    </row>
    <row r="219" ht="14.25">
      <c r="A219" s="2"/>
      <c r="B219" s="2"/>
      <c r="C219" s="2"/>
      <c r="D219" s="2"/>
      <c r="E219" s="2"/>
      <c r="F219" s="2"/>
      <c r="G219" s="2"/>
      <c r="H219" s="2"/>
      <c r="I219" s="2"/>
      <c r="J219" s="2"/>
      <c r="K219" s="2"/>
      <c r="L219" s="2"/>
      <c r="M219" s="2"/>
      <c r="N219" s="2"/>
      <c r="O219" s="2"/>
      <c r="P219" s="2"/>
      <c r="Q219" s="2"/>
    </row>
    <row r="220" ht="14.25">
      <c r="A220" s="2"/>
      <c r="B220" s="2"/>
      <c r="C220" s="2"/>
      <c r="D220" s="2"/>
      <c r="E220" s="2"/>
      <c r="F220" s="2"/>
      <c r="G220" s="2"/>
      <c r="H220" s="2"/>
      <c r="I220" s="2"/>
      <c r="J220" s="2"/>
      <c r="K220" s="2"/>
      <c r="L220" s="2"/>
      <c r="M220" s="2"/>
      <c r="N220" s="2"/>
      <c r="O220" s="2"/>
      <c r="P220" s="2"/>
      <c r="Q220" s="2"/>
    </row>
    <row r="221" ht="14.25">
      <c r="A221" s="2"/>
      <c r="B221" s="2"/>
      <c r="C221" s="2"/>
      <c r="D221" s="2"/>
      <c r="E221" s="2"/>
      <c r="F221" s="2"/>
      <c r="G221" s="2"/>
      <c r="H221" s="2"/>
      <c r="I221" s="2"/>
      <c r="J221" s="2"/>
      <c r="K221" s="2"/>
      <c r="L221" s="2"/>
      <c r="M221" s="2"/>
      <c r="N221" s="2"/>
      <c r="O221" s="2"/>
      <c r="P221" s="2"/>
      <c r="Q221" s="2"/>
    </row>
    <row r="222" ht="14.25">
      <c r="A222" s="2"/>
      <c r="B222" s="2"/>
      <c r="C222" s="2"/>
      <c r="D222" s="2"/>
      <c r="E222" s="2"/>
      <c r="F222" s="2"/>
      <c r="G222" s="2"/>
      <c r="H222" s="2"/>
      <c r="I222" s="2"/>
      <c r="J222" s="2"/>
      <c r="K222" s="2"/>
      <c r="L222" s="2"/>
      <c r="M222" s="2"/>
      <c r="N222" s="2"/>
      <c r="O222" s="2"/>
      <c r="P222" s="2"/>
      <c r="Q222" s="2"/>
    </row>
  </sheetData>
  <mergeCells count="28">
    <mergeCell ref="H2:L11"/>
    <mergeCell ref="F13:I26"/>
    <mergeCell ref="K13:P26"/>
    <mergeCell ref="A36:C60"/>
    <mergeCell ref="D36:G36"/>
    <mergeCell ref="D37:G37"/>
    <mergeCell ref="D38:G38"/>
    <mergeCell ref="D39:G39"/>
    <mergeCell ref="D40:G40"/>
    <mergeCell ref="D43:G59"/>
    <mergeCell ref="H43:I43"/>
    <mergeCell ref="H44:I44"/>
    <mergeCell ref="C82:D83"/>
    <mergeCell ref="K82:L83"/>
    <mergeCell ref="I102:J102"/>
    <mergeCell ref="C103:D104"/>
    <mergeCell ref="K103:L104"/>
    <mergeCell ref="H111:H112"/>
    <mergeCell ref="F113:F114"/>
    <mergeCell ref="G113:I114"/>
    <mergeCell ref="F115:F117"/>
    <mergeCell ref="G115:I117"/>
    <mergeCell ref="F120:I121"/>
    <mergeCell ref="L133:L134"/>
    <mergeCell ref="H145:K150"/>
    <mergeCell ref="F175:K180"/>
    <mergeCell ref="E209:J209"/>
    <mergeCell ref="E212:J213"/>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bestFit="1" customWidth="1" min="1" max="1" width="20.140625"/>
    <col customWidth="1" min="2" max="2" width="22.57421875"/>
    <col bestFit="1" customWidth="1" min="3" max="3" width="28.421875"/>
    <col bestFit="1" customWidth="1" min="4" max="4" width="19.8515625"/>
    <col customWidth="1" min="5" max="5" width="22.8515625"/>
  </cols>
  <sheetData>
    <row r="1">
      <c r="A1" s="2"/>
      <c r="B1" s="19" t="s">
        <v>143</v>
      </c>
      <c r="C1" s="19" t="s">
        <v>144</v>
      </c>
      <c r="D1" s="19" t="s">
        <v>145</v>
      </c>
      <c r="E1" s="19" t="s">
        <v>146</v>
      </c>
      <c r="F1" s="2"/>
      <c r="G1" s="2"/>
    </row>
    <row r="2">
      <c r="A2" s="2"/>
      <c r="B2" s="19">
        <v>139953087619072</v>
      </c>
      <c r="C2" s="19">
        <v>53</v>
      </c>
      <c r="D2" s="19">
        <v>0</v>
      </c>
      <c r="E2" s="19">
        <v>53</v>
      </c>
      <c r="F2" s="2"/>
      <c r="G2" s="2"/>
    </row>
    <row r="3">
      <c r="A3" s="2"/>
      <c r="B3" s="19">
        <v>139953087619072</v>
      </c>
      <c r="C3" s="19">
        <v>20</v>
      </c>
      <c r="D3" s="19">
        <v>53</v>
      </c>
      <c r="E3" s="19">
        <v>73</v>
      </c>
      <c r="F3" s="2"/>
      <c r="G3" s="2"/>
    </row>
    <row r="4">
      <c r="A4" s="2"/>
      <c r="B4" s="19">
        <v>139953087619072</v>
      </c>
      <c r="C4" s="19">
        <v>50</v>
      </c>
      <c r="D4" s="19">
        <v>73</v>
      </c>
      <c r="E4" s="19">
        <v>123</v>
      </c>
      <c r="F4" s="2"/>
      <c r="G4" s="2"/>
    </row>
    <row r="5">
      <c r="A5" s="2"/>
      <c r="B5" s="19">
        <v>139953087619072</v>
      </c>
      <c r="C5" s="19">
        <v>37</v>
      </c>
      <c r="D5" s="19">
        <v>123</v>
      </c>
      <c r="E5" s="19">
        <v>160</v>
      </c>
      <c r="F5" s="2"/>
      <c r="G5" s="2"/>
    </row>
    <row r="6">
      <c r="A6" s="2"/>
      <c r="B6" s="90" t="s">
        <v>147</v>
      </c>
      <c r="C6" s="91" t="s">
        <v>148</v>
      </c>
      <c r="D6" s="92"/>
      <c r="E6" s="93" t="s">
        <v>149</v>
      </c>
      <c r="F6" s="2"/>
      <c r="G6" s="2"/>
    </row>
    <row r="7">
      <c r="A7" s="2"/>
      <c r="B7" s="2"/>
      <c r="C7" s="2"/>
      <c r="D7" s="2"/>
      <c r="E7" s="2"/>
      <c r="F7" s="2"/>
      <c r="G7" s="2"/>
    </row>
    <row r="8">
      <c r="A8" s="2"/>
      <c r="B8" s="30" t="s">
        <v>150</v>
      </c>
      <c r="C8" s="31"/>
      <c r="D8" s="31"/>
      <c r="E8" s="31"/>
      <c r="F8" s="2"/>
      <c r="G8" s="2"/>
    </row>
    <row r="9">
      <c r="A9" s="2"/>
      <c r="B9" s="31"/>
      <c r="C9" s="31"/>
      <c r="D9" s="31"/>
      <c r="E9" s="31"/>
      <c r="F9" s="2"/>
      <c r="G9" s="2"/>
    </row>
    <row r="10">
      <c r="A10" s="2"/>
      <c r="B10" s="31"/>
      <c r="C10" s="31"/>
      <c r="D10" s="31"/>
      <c r="E10" s="31"/>
      <c r="F10" s="2"/>
      <c r="G10" s="2"/>
    </row>
    <row r="11">
      <c r="A11" s="2"/>
      <c r="B11" s="31"/>
      <c r="C11" s="31"/>
      <c r="D11" s="31"/>
      <c r="E11" s="31"/>
      <c r="F11" s="2"/>
      <c r="G11" s="2"/>
    </row>
    <row r="12">
      <c r="A12" s="2"/>
      <c r="B12" s="31"/>
      <c r="C12" s="31"/>
      <c r="D12" s="31"/>
      <c r="E12" s="31"/>
      <c r="F12" s="2"/>
      <c r="G12" s="2"/>
    </row>
    <row r="13">
      <c r="A13" s="2"/>
      <c r="B13" s="2"/>
      <c r="C13" s="2"/>
      <c r="D13" s="2"/>
      <c r="E13" s="2"/>
      <c r="F13" s="2"/>
      <c r="G13" s="2"/>
    </row>
  </sheetData>
  <mergeCells count="1">
    <mergeCell ref="B8:E12"/>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85" zoomScale="100" workbookViewId="0">
      <selection activeCell="A1" activeCellId="0" sqref="A1"/>
    </sheetView>
  </sheetViews>
  <sheetFormatPr defaultRowHeight="14.25"/>
  <cols>
    <col bestFit="1" customWidth="1" min="1" max="1" width="20.140625"/>
    <col bestFit="1" customWidth="1" min="2" max="2" width="16.00390625"/>
    <col bestFit="1" customWidth="1" min="3" max="3" width="20.00390625"/>
    <col customWidth="1" min="4" max="4" width="31.8515625"/>
    <col bestFit="1" customWidth="1" min="5" max="5" width="23.140625"/>
    <col bestFit="1" customWidth="1" min="6" max="6" width="22.421875"/>
    <col bestFit="1" customWidth="1" min="7" max="7" width="22.57421875"/>
    <col bestFit="1" customWidth="1" min="8" max="8" width="20.140625"/>
    <col bestFit="1" customWidth="1" min="9" max="9" width="18.7109375"/>
    <col bestFit="1" customWidth="1" min="10" max="10" width="40.140625"/>
    <col bestFit="1" customWidth="1" min="11" max="11" width="33.421875"/>
  </cols>
  <sheetData>
    <row r="1" ht="14.25">
      <c r="A1" s="19" t="s">
        <v>151</v>
      </c>
      <c r="B1" s="19" t="s">
        <v>152</v>
      </c>
      <c r="C1" s="19" t="s">
        <v>153</v>
      </c>
      <c r="D1" s="19" t="s">
        <v>154</v>
      </c>
      <c r="E1" s="19" t="s">
        <v>155</v>
      </c>
      <c r="F1" s="19" t="s">
        <v>156</v>
      </c>
      <c r="G1" s="19" t="s">
        <v>157</v>
      </c>
      <c r="H1" s="19" t="s">
        <v>158</v>
      </c>
      <c r="I1" s="19" t="s">
        <v>159</v>
      </c>
      <c r="J1" s="19" t="s">
        <v>160</v>
      </c>
      <c r="K1" s="19" t="s">
        <v>161</v>
      </c>
      <c r="L1" s="2"/>
      <c r="M1" s="2"/>
    </row>
    <row r="2" ht="14.25">
      <c r="A2" s="19">
        <v>140065308434432</v>
      </c>
      <c r="B2" s="19">
        <v>0</v>
      </c>
      <c r="C2" s="19">
        <v>140737297046928</v>
      </c>
      <c r="D2" s="94">
        <v>4</v>
      </c>
      <c r="E2" s="94">
        <v>53</v>
      </c>
      <c r="F2" s="19">
        <v>140065308438528</v>
      </c>
      <c r="G2" s="19">
        <v>1540</v>
      </c>
      <c r="H2" s="19">
        <v>16</v>
      </c>
      <c r="I2" s="19">
        <v>16</v>
      </c>
      <c r="J2" s="19">
        <v>1556</v>
      </c>
      <c r="K2" s="19">
        <v>16</v>
      </c>
      <c r="L2" s="2"/>
      <c r="M2" s="2"/>
    </row>
    <row r="3" ht="14.25">
      <c r="A3" s="19">
        <v>140065308434432</v>
      </c>
      <c r="B3" s="19">
        <v>1</v>
      </c>
      <c r="C3" s="19">
        <v>140737297046928</v>
      </c>
      <c r="D3" s="95">
        <v>2</v>
      </c>
      <c r="E3" s="94">
        <v>73</v>
      </c>
      <c r="F3" s="19">
        <v>140065308446720</v>
      </c>
      <c r="G3" s="19">
        <v>1924</v>
      </c>
      <c r="H3" s="19">
        <v>8</v>
      </c>
      <c r="I3" s="19">
        <v>16</v>
      </c>
      <c r="J3" s="19">
        <v>1932</v>
      </c>
      <c r="K3" s="19">
        <v>16</v>
      </c>
      <c r="L3" s="2"/>
      <c r="M3" s="2"/>
    </row>
    <row r="4" ht="14.25">
      <c r="A4" s="19">
        <v>140065308434432</v>
      </c>
      <c r="B4" s="19">
        <v>2</v>
      </c>
      <c r="C4" s="19">
        <v>140737297046936</v>
      </c>
      <c r="D4" s="96">
        <v>2</v>
      </c>
      <c r="E4" s="94">
        <v>123</v>
      </c>
      <c r="F4" s="19">
        <v>140065308454912</v>
      </c>
      <c r="G4" s="19">
        <v>2692</v>
      </c>
      <c r="H4" s="19">
        <v>8</v>
      </c>
      <c r="I4" s="19">
        <v>16</v>
      </c>
      <c r="J4" s="19">
        <v>2700</v>
      </c>
      <c r="K4" s="19">
        <v>16</v>
      </c>
      <c r="L4" s="2"/>
      <c r="M4" s="2"/>
    </row>
    <row r="5" ht="14.25">
      <c r="A5" s="19">
        <v>-1</v>
      </c>
      <c r="B5" s="19">
        <v>-1</v>
      </c>
      <c r="C5" s="19">
        <v>-1</v>
      </c>
      <c r="D5" s="19">
        <v>-1</v>
      </c>
      <c r="E5" s="94">
        <v>160</v>
      </c>
      <c r="F5" s="19">
        <v>-1</v>
      </c>
      <c r="G5" s="19">
        <v>-1</v>
      </c>
      <c r="H5" s="19">
        <v>-1</v>
      </c>
      <c r="I5" s="19">
        <v>-1</v>
      </c>
      <c r="J5" s="19">
        <v>-1</v>
      </c>
      <c r="K5" s="19">
        <v>-1</v>
      </c>
      <c r="L5" s="2"/>
      <c r="M5" s="2"/>
    </row>
    <row r="6" ht="14.25">
      <c r="A6" s="19">
        <v>-1</v>
      </c>
      <c r="B6" s="19">
        <v>-1</v>
      </c>
      <c r="C6" s="19">
        <v>-1</v>
      </c>
      <c r="D6" s="19">
        <v>-1</v>
      </c>
      <c r="E6" s="95">
        <v>53</v>
      </c>
      <c r="F6" s="19">
        <v>-1</v>
      </c>
      <c r="G6" s="19">
        <v>-1</v>
      </c>
      <c r="H6" s="19">
        <v>-1</v>
      </c>
      <c r="I6" s="19">
        <v>-1</v>
      </c>
      <c r="J6" s="19">
        <v>-1</v>
      </c>
      <c r="K6" s="19">
        <v>-1</v>
      </c>
      <c r="L6" s="2"/>
      <c r="M6" s="2"/>
    </row>
    <row r="7" ht="14.25">
      <c r="A7" s="19">
        <v>-1</v>
      </c>
      <c r="B7" s="19">
        <v>-1</v>
      </c>
      <c r="C7" s="19">
        <v>-1</v>
      </c>
      <c r="D7" s="19">
        <v>-1</v>
      </c>
      <c r="E7" s="95">
        <v>73</v>
      </c>
      <c r="F7" s="19">
        <v>-1</v>
      </c>
      <c r="G7" s="19">
        <v>-1</v>
      </c>
      <c r="H7" s="19">
        <v>-1</v>
      </c>
      <c r="I7" s="19">
        <v>-1</v>
      </c>
      <c r="J7" s="19">
        <v>-1</v>
      </c>
      <c r="K7" s="19">
        <v>-1</v>
      </c>
      <c r="L7" s="2"/>
      <c r="M7" s="2"/>
    </row>
    <row r="8" ht="14.25">
      <c r="A8" s="19">
        <v>-1</v>
      </c>
      <c r="B8" s="19">
        <v>-1</v>
      </c>
      <c r="C8" s="19">
        <v>-1</v>
      </c>
      <c r="D8" s="19">
        <v>-1</v>
      </c>
      <c r="E8" s="96">
        <v>123</v>
      </c>
      <c r="F8" s="19">
        <v>-1</v>
      </c>
      <c r="G8" s="19">
        <v>-1</v>
      </c>
      <c r="H8" s="19">
        <v>-1</v>
      </c>
      <c r="I8" s="19">
        <v>-1</v>
      </c>
      <c r="J8" s="19">
        <v>-1</v>
      </c>
      <c r="K8" s="19">
        <v>-1</v>
      </c>
      <c r="L8" s="2"/>
      <c r="M8" s="2"/>
    </row>
    <row r="9" ht="14.25">
      <c r="A9" s="19">
        <v>-1</v>
      </c>
      <c r="B9" s="19">
        <v>-1</v>
      </c>
      <c r="C9" s="19">
        <v>-1</v>
      </c>
      <c r="D9" s="19">
        <v>-1</v>
      </c>
      <c r="E9" s="96">
        <v>160</v>
      </c>
      <c r="F9" s="19">
        <v>-1</v>
      </c>
      <c r="G9" s="19">
        <v>-1</v>
      </c>
      <c r="H9" s="19">
        <v>-1</v>
      </c>
      <c r="I9" s="19">
        <v>-1</v>
      </c>
      <c r="J9" s="19">
        <v>-1</v>
      </c>
      <c r="K9" s="19">
        <v>-1</v>
      </c>
      <c r="L9" s="2"/>
      <c r="M9" s="2"/>
    </row>
    <row r="10" ht="14.25">
      <c r="A10" s="2"/>
      <c r="B10" s="2"/>
      <c r="C10" s="2"/>
      <c r="D10" s="2"/>
      <c r="E10" s="2"/>
      <c r="F10" s="2"/>
      <c r="G10" s="2"/>
      <c r="H10" s="2"/>
      <c r="I10" s="2"/>
      <c r="J10" s="2"/>
      <c r="K10" s="2"/>
      <c r="L10" s="2"/>
      <c r="M10" s="2"/>
    </row>
    <row r="11" ht="14.25">
      <c r="A11" s="2"/>
      <c r="B11" s="2"/>
      <c r="C11" s="2"/>
      <c r="D11" s="2"/>
      <c r="E11" s="2"/>
      <c r="F11" s="2"/>
      <c r="G11" s="2"/>
      <c r="H11" s="2"/>
      <c r="I11" s="2"/>
      <c r="J11" s="2"/>
      <c r="K11" s="2"/>
      <c r="L11" s="2"/>
      <c r="M11" s="2"/>
    </row>
    <row r="12" ht="14.25">
      <c r="A12" s="2"/>
      <c r="B12" s="30" t="s">
        <v>162</v>
      </c>
      <c r="C12" s="30"/>
      <c r="D12" s="30"/>
      <c r="E12" s="30"/>
      <c r="F12" s="2"/>
      <c r="G12" s="2"/>
      <c r="H12" s="30" t="s">
        <v>163</v>
      </c>
      <c r="I12" s="31"/>
      <c r="J12" s="31"/>
      <c r="K12" s="2"/>
      <c r="L12" s="2"/>
      <c r="M12" s="2"/>
    </row>
    <row r="13" ht="14.25">
      <c r="A13" s="2"/>
      <c r="B13" s="30" t="s">
        <v>164</v>
      </c>
      <c r="C13" s="30"/>
      <c r="D13" s="30"/>
      <c r="E13" s="30"/>
      <c r="F13" s="2"/>
      <c r="G13" s="2"/>
      <c r="H13" s="30" t="s">
        <v>165</v>
      </c>
      <c r="I13" s="31"/>
      <c r="J13" s="31"/>
      <c r="K13" s="2"/>
      <c r="L13" s="2"/>
      <c r="M13" s="2"/>
    </row>
    <row r="14" ht="14.25">
      <c r="A14" s="2"/>
      <c r="B14" s="30" t="s">
        <v>166</v>
      </c>
      <c r="C14" s="30"/>
      <c r="D14" s="30"/>
      <c r="E14" s="30"/>
      <c r="F14" s="2"/>
      <c r="G14" s="2"/>
      <c r="H14" s="30" t="s">
        <v>167</v>
      </c>
      <c r="I14" s="31"/>
      <c r="J14" s="31"/>
      <c r="K14" s="2"/>
      <c r="L14" s="2"/>
      <c r="M14" s="2"/>
    </row>
    <row r="15" ht="14.25">
      <c r="A15" s="2"/>
      <c r="B15" s="30" t="s">
        <v>168</v>
      </c>
      <c r="C15" s="30"/>
      <c r="D15" s="30"/>
      <c r="E15" s="30"/>
      <c r="F15" s="2"/>
      <c r="G15" s="2"/>
      <c r="H15" s="30" t="s">
        <v>169</v>
      </c>
      <c r="I15" s="31"/>
      <c r="J15" s="31"/>
      <c r="K15" s="2"/>
      <c r="L15" s="2"/>
      <c r="M15" s="2"/>
    </row>
    <row r="16" ht="14.25">
      <c r="A16" s="2"/>
      <c r="B16" s="2"/>
      <c r="C16" s="2"/>
      <c r="D16" s="2"/>
      <c r="E16" s="2"/>
      <c r="F16" s="2"/>
      <c r="G16" s="2"/>
      <c r="H16" s="2"/>
      <c r="I16" s="2"/>
      <c r="J16" s="2"/>
      <c r="K16" s="2"/>
      <c r="L16" s="2"/>
      <c r="M16" s="2"/>
    </row>
    <row r="17" ht="14.25">
      <c r="A17" s="2"/>
      <c r="B17" s="2"/>
      <c r="C17" s="2"/>
      <c r="D17" s="2"/>
      <c r="E17" s="2"/>
      <c r="F17" s="2"/>
      <c r="G17" s="2"/>
      <c r="H17" s="2"/>
      <c r="I17" s="2"/>
      <c r="J17" s="2"/>
      <c r="K17" s="2"/>
      <c r="L17" s="2"/>
      <c r="M17" s="2"/>
    </row>
    <row r="18" ht="14.25">
      <c r="A18" s="2"/>
      <c r="B18" s="97" t="s">
        <v>170</v>
      </c>
      <c r="C18" s="80"/>
      <c r="D18" s="80"/>
      <c r="E18" s="80"/>
      <c r="F18" s="80"/>
      <c r="G18" s="80"/>
      <c r="H18" s="80"/>
      <c r="I18" s="80"/>
      <c r="J18" s="80"/>
      <c r="K18" s="2"/>
      <c r="L18" s="2"/>
      <c r="M18" s="2"/>
    </row>
    <row r="19" ht="14.25">
      <c r="A19" s="2"/>
      <c r="B19" s="80"/>
      <c r="C19" s="80"/>
      <c r="D19" s="80"/>
      <c r="E19" s="80"/>
      <c r="F19" s="80"/>
      <c r="G19" s="80"/>
      <c r="H19" s="80"/>
      <c r="I19" s="80"/>
      <c r="J19" s="80"/>
      <c r="K19" s="2"/>
      <c r="L19" s="2"/>
      <c r="M19" s="2"/>
    </row>
    <row r="20" ht="14.25">
      <c r="A20" s="2"/>
      <c r="B20" s="80"/>
      <c r="C20" s="80"/>
      <c r="D20" s="80"/>
      <c r="E20" s="80"/>
      <c r="F20" s="80"/>
      <c r="G20" s="80"/>
      <c r="H20" s="80"/>
      <c r="I20" s="80"/>
      <c r="J20" s="80"/>
      <c r="K20" s="2"/>
      <c r="L20" s="2"/>
      <c r="M20" s="2"/>
    </row>
    <row r="21" ht="14.25">
      <c r="A21" s="2"/>
      <c r="B21" s="80"/>
      <c r="C21" s="80"/>
      <c r="D21" s="80"/>
      <c r="E21" s="80"/>
      <c r="F21" s="80"/>
      <c r="G21" s="80"/>
      <c r="H21" s="80"/>
      <c r="I21" s="80"/>
      <c r="J21" s="80"/>
      <c r="K21" s="2"/>
      <c r="L21" s="2"/>
      <c r="M21" s="2"/>
    </row>
    <row r="22" ht="14.25">
      <c r="A22" s="2"/>
      <c r="B22" s="80"/>
      <c r="C22" s="80"/>
      <c r="D22" s="80"/>
      <c r="E22" s="80"/>
      <c r="F22" s="80"/>
      <c r="G22" s="80"/>
      <c r="H22" s="80"/>
      <c r="I22" s="80"/>
      <c r="J22" s="80"/>
      <c r="K22" s="2"/>
      <c r="L22" s="2"/>
      <c r="M22" s="2"/>
    </row>
    <row r="23" ht="14.25">
      <c r="A23" s="2"/>
      <c r="B23" s="80"/>
      <c r="C23" s="80"/>
      <c r="D23" s="80"/>
      <c r="E23" s="80"/>
      <c r="F23" s="80"/>
      <c r="G23" s="80"/>
      <c r="H23" s="80"/>
      <c r="I23" s="80"/>
      <c r="J23" s="80"/>
      <c r="K23" s="2"/>
      <c r="L23" s="2"/>
      <c r="M23" s="2"/>
    </row>
    <row r="24" ht="14.25">
      <c r="A24" s="2"/>
      <c r="B24" s="80"/>
      <c r="C24" s="80"/>
      <c r="D24" s="80"/>
      <c r="E24" s="80"/>
      <c r="F24" s="80"/>
      <c r="G24" s="80"/>
      <c r="H24" s="80"/>
      <c r="I24" s="80"/>
      <c r="J24" s="80"/>
      <c r="K24" s="2"/>
      <c r="L24" s="2"/>
      <c r="M24" s="2"/>
    </row>
    <row r="25" ht="14.25">
      <c r="A25" s="2"/>
      <c r="B25" s="2"/>
      <c r="C25" s="2"/>
      <c r="D25" s="2"/>
      <c r="E25" s="2"/>
      <c r="F25" s="2"/>
      <c r="G25" s="2"/>
      <c r="H25" s="2"/>
      <c r="I25" s="2"/>
      <c r="J25" s="2"/>
      <c r="K25" s="2"/>
      <c r="L25" s="2"/>
      <c r="M25" s="2"/>
    </row>
    <row r="26" ht="14.25">
      <c r="A26" s="2"/>
      <c r="B26" s="2"/>
      <c r="C26" s="2"/>
      <c r="D26" s="2"/>
      <c r="E26" s="2"/>
      <c r="F26" s="2"/>
      <c r="G26" s="2"/>
      <c r="H26" s="2"/>
      <c r="I26" s="2"/>
      <c r="J26" s="2"/>
      <c r="K26" s="2"/>
      <c r="L26" s="2"/>
      <c r="M26" s="2"/>
    </row>
    <row r="27" ht="14.25">
      <c r="A27" s="2"/>
      <c r="B27" s="45" t="s">
        <v>171</v>
      </c>
      <c r="C27" s="45"/>
      <c r="D27" s="45"/>
      <c r="E27" s="45"/>
      <c r="F27" s="45"/>
      <c r="G27" s="45"/>
      <c r="H27" s="45"/>
      <c r="I27" s="45"/>
      <c r="J27" s="45"/>
      <c r="K27" s="2"/>
      <c r="L27" s="2"/>
      <c r="M27" s="2"/>
    </row>
    <row r="28" ht="14.25">
      <c r="A28" s="2"/>
      <c r="B28" s="45"/>
      <c r="C28" s="45"/>
      <c r="D28" s="45"/>
      <c r="E28" s="45"/>
      <c r="F28" s="45"/>
      <c r="G28" s="45"/>
      <c r="H28" s="45"/>
      <c r="I28" s="45"/>
      <c r="J28" s="45"/>
      <c r="K28" s="2"/>
      <c r="L28" s="2"/>
      <c r="M28" s="2"/>
    </row>
    <row r="29" ht="14.25">
      <c r="A29" s="2"/>
      <c r="B29" s="45"/>
      <c r="C29" s="45"/>
      <c r="D29" s="45"/>
      <c r="E29" s="45"/>
      <c r="F29" s="45"/>
      <c r="G29" s="45"/>
      <c r="H29" s="45"/>
      <c r="I29" s="45"/>
      <c r="J29" s="45"/>
      <c r="K29" s="2"/>
      <c r="L29" s="2"/>
      <c r="M29" s="2"/>
    </row>
    <row r="30" ht="14.25">
      <c r="A30" s="2"/>
      <c r="B30" s="45"/>
      <c r="C30" s="45"/>
      <c r="D30" s="45"/>
      <c r="E30" s="45"/>
      <c r="F30" s="45"/>
      <c r="G30" s="45"/>
      <c r="H30" s="45"/>
      <c r="I30" s="45"/>
      <c r="J30" s="45"/>
      <c r="K30" s="2"/>
      <c r="L30" s="2"/>
      <c r="M30" s="2"/>
    </row>
    <row r="31" ht="14.25">
      <c r="A31" s="2"/>
      <c r="B31" s="45"/>
      <c r="C31" s="45"/>
      <c r="D31" s="45"/>
      <c r="E31" s="45"/>
      <c r="F31" s="45"/>
      <c r="G31" s="45"/>
      <c r="H31" s="45"/>
      <c r="I31" s="45"/>
      <c r="J31" s="45"/>
      <c r="K31" s="2"/>
      <c r="L31" s="2"/>
      <c r="M31" s="2"/>
    </row>
    <row r="32" ht="14.25">
      <c r="A32" s="2"/>
      <c r="B32" s="45"/>
      <c r="C32" s="45"/>
      <c r="D32" s="45"/>
      <c r="E32" s="45"/>
      <c r="F32" s="45"/>
      <c r="G32" s="45"/>
      <c r="H32" s="45"/>
      <c r="I32" s="45"/>
      <c r="J32" s="45"/>
      <c r="K32" s="2"/>
      <c r="L32" s="2"/>
      <c r="M32" s="2"/>
    </row>
    <row r="33" ht="14.25">
      <c r="A33" s="2"/>
      <c r="B33" s="45"/>
      <c r="C33" s="45"/>
      <c r="D33" s="45"/>
      <c r="E33" s="45"/>
      <c r="F33" s="45"/>
      <c r="G33" s="45"/>
      <c r="H33" s="45"/>
      <c r="I33" s="45"/>
      <c r="J33" s="45"/>
      <c r="K33" s="2"/>
      <c r="L33" s="2"/>
      <c r="M33" s="2"/>
    </row>
    <row r="34" ht="14.25">
      <c r="A34" s="2"/>
      <c r="B34" s="45"/>
      <c r="C34" s="45"/>
      <c r="D34" s="45"/>
      <c r="E34" s="45"/>
      <c r="F34" s="45"/>
      <c r="G34" s="45"/>
      <c r="H34" s="45"/>
      <c r="I34" s="45"/>
      <c r="J34" s="45"/>
      <c r="K34" s="2"/>
      <c r="L34" s="2"/>
      <c r="M34" s="2"/>
    </row>
    <row r="35" ht="14.25">
      <c r="A35" s="2"/>
      <c r="B35" s="45"/>
      <c r="C35" s="45"/>
      <c r="D35" s="45"/>
      <c r="E35" s="45"/>
      <c r="F35" s="45"/>
      <c r="G35" s="45"/>
      <c r="H35" s="45"/>
      <c r="I35" s="45"/>
      <c r="J35" s="45"/>
      <c r="K35" s="2"/>
      <c r="L35" s="2"/>
      <c r="M35" s="2"/>
    </row>
    <row r="36" ht="14.25">
      <c r="A36" s="2"/>
      <c r="B36" s="45"/>
      <c r="C36" s="45"/>
      <c r="D36" s="45"/>
      <c r="E36" s="45"/>
      <c r="F36" s="45"/>
      <c r="G36" s="45"/>
      <c r="H36" s="45"/>
      <c r="I36" s="45"/>
      <c r="J36" s="45"/>
      <c r="K36" s="2"/>
      <c r="L36" s="2"/>
      <c r="M36" s="2"/>
    </row>
    <row r="37" ht="14.25">
      <c r="A37" s="2"/>
      <c r="B37" s="45"/>
      <c r="C37" s="45"/>
      <c r="D37" s="45"/>
      <c r="E37" s="45"/>
      <c r="F37" s="45"/>
      <c r="G37" s="45"/>
      <c r="H37" s="45"/>
      <c r="I37" s="45"/>
      <c r="J37" s="45"/>
      <c r="K37" s="2"/>
      <c r="L37" s="2"/>
      <c r="M37" s="2"/>
    </row>
    <row r="38" ht="14.25">
      <c r="A38" s="2"/>
      <c r="B38" s="45"/>
      <c r="C38" s="45"/>
      <c r="D38" s="45"/>
      <c r="E38" s="45"/>
      <c r="F38" s="45"/>
      <c r="G38" s="45"/>
      <c r="H38" s="45"/>
      <c r="I38" s="45"/>
      <c r="J38" s="45"/>
      <c r="K38" s="2"/>
      <c r="L38" s="2"/>
      <c r="M38" s="2"/>
    </row>
    <row r="39" ht="14.25">
      <c r="A39" s="2"/>
      <c r="B39" s="45"/>
      <c r="C39" s="45"/>
      <c r="D39" s="45"/>
      <c r="E39" s="45"/>
      <c r="F39" s="45"/>
      <c r="G39" s="45"/>
      <c r="H39" s="45"/>
      <c r="I39" s="45"/>
      <c r="J39" s="45"/>
      <c r="K39" s="2"/>
      <c r="L39" s="2"/>
      <c r="M39" s="2"/>
    </row>
    <row r="40" ht="14.25">
      <c r="A40" s="2"/>
      <c r="B40" s="45"/>
      <c r="C40" s="45"/>
      <c r="D40" s="45"/>
      <c r="E40" s="45"/>
      <c r="F40" s="45"/>
      <c r="G40" s="45"/>
      <c r="H40" s="45"/>
      <c r="I40" s="45"/>
      <c r="J40" s="45"/>
      <c r="K40" s="2"/>
      <c r="L40" s="2"/>
      <c r="M40" s="2"/>
    </row>
    <row r="41" ht="14.25">
      <c r="A41" s="2"/>
      <c r="B41" s="45"/>
      <c r="C41" s="45"/>
      <c r="D41" s="45"/>
      <c r="E41" s="45"/>
      <c r="F41" s="45"/>
      <c r="G41" s="45"/>
      <c r="H41" s="45"/>
      <c r="I41" s="45"/>
      <c r="J41" s="45"/>
      <c r="K41" s="2"/>
      <c r="L41" s="2"/>
      <c r="M41" s="2"/>
    </row>
    <row r="42" ht="14.25">
      <c r="A42" s="2"/>
      <c r="B42" s="45"/>
      <c r="C42" s="45"/>
      <c r="D42" s="45"/>
      <c r="E42" s="45"/>
      <c r="F42" s="45"/>
      <c r="G42" s="45"/>
      <c r="H42" s="45"/>
      <c r="I42" s="45"/>
      <c r="J42" s="45"/>
      <c r="K42" s="2"/>
      <c r="L42" s="2"/>
      <c r="M42" s="2"/>
    </row>
    <row r="43" ht="14.25">
      <c r="A43" s="2"/>
      <c r="B43" s="45"/>
      <c r="C43" s="45"/>
      <c r="D43" s="45"/>
      <c r="E43" s="45"/>
      <c r="F43" s="45"/>
      <c r="G43" s="45"/>
      <c r="H43" s="45"/>
      <c r="I43" s="45"/>
      <c r="J43" s="45"/>
      <c r="K43" s="2"/>
      <c r="L43" s="2"/>
      <c r="M43" s="2"/>
    </row>
    <row r="44" ht="14.25">
      <c r="A44" s="2"/>
      <c r="B44" s="45"/>
      <c r="C44" s="45"/>
      <c r="D44" s="45"/>
      <c r="E44" s="45"/>
      <c r="F44" s="45"/>
      <c r="G44" s="45"/>
      <c r="H44" s="45"/>
      <c r="I44" s="45"/>
      <c r="J44" s="45"/>
      <c r="K44" s="2"/>
      <c r="L44" s="2"/>
      <c r="M44" s="2"/>
    </row>
    <row r="45" ht="14.25">
      <c r="A45" s="2"/>
      <c r="B45" s="45"/>
      <c r="C45" s="45"/>
      <c r="D45" s="45"/>
      <c r="E45" s="45"/>
      <c r="F45" s="45"/>
      <c r="G45" s="45"/>
      <c r="H45" s="45"/>
      <c r="I45" s="45"/>
      <c r="J45" s="45"/>
      <c r="K45" s="2"/>
      <c r="L45" s="2"/>
      <c r="M45" s="2"/>
    </row>
    <row r="46" ht="14.25">
      <c r="A46" s="2"/>
      <c r="B46" s="45"/>
      <c r="C46" s="45"/>
      <c r="D46" s="45"/>
      <c r="E46" s="45"/>
      <c r="F46" s="45"/>
      <c r="G46" s="45"/>
      <c r="H46" s="45"/>
      <c r="I46" s="45"/>
      <c r="J46" s="45"/>
      <c r="K46" s="2"/>
      <c r="L46" s="2"/>
      <c r="M46" s="2"/>
    </row>
    <row r="47" ht="14.25">
      <c r="A47" s="2"/>
      <c r="B47" s="45"/>
      <c r="C47" s="45"/>
      <c r="D47" s="45"/>
      <c r="E47" s="45"/>
      <c r="F47" s="45"/>
      <c r="G47" s="45"/>
      <c r="H47" s="45"/>
      <c r="I47" s="45"/>
      <c r="J47" s="45"/>
      <c r="K47" s="2"/>
      <c r="L47" s="2"/>
      <c r="M47" s="2"/>
    </row>
    <row r="48" ht="14.25">
      <c r="A48" s="2"/>
      <c r="B48" s="45"/>
      <c r="C48" s="45"/>
      <c r="D48" s="45"/>
      <c r="E48" s="45"/>
      <c r="F48" s="45"/>
      <c r="G48" s="45"/>
      <c r="H48" s="45"/>
      <c r="I48" s="45"/>
      <c r="J48" s="45"/>
      <c r="K48" s="2"/>
      <c r="L48" s="2"/>
      <c r="M48" s="2"/>
    </row>
    <row r="49" ht="14.25">
      <c r="A49" s="2"/>
      <c r="B49" s="2"/>
      <c r="C49" s="2"/>
      <c r="D49" s="2"/>
      <c r="E49" s="2"/>
      <c r="F49" s="2"/>
      <c r="G49" s="2"/>
      <c r="H49" s="2"/>
      <c r="I49" s="2"/>
      <c r="J49" s="2"/>
      <c r="K49" s="2"/>
      <c r="L49" s="2"/>
      <c r="M49" s="2"/>
    </row>
    <row r="50" ht="14.25">
      <c r="A50" s="2"/>
      <c r="B50" s="2"/>
      <c r="C50" s="2"/>
      <c r="D50" s="2"/>
      <c r="E50" s="2"/>
      <c r="F50" s="2"/>
      <c r="G50" s="2"/>
      <c r="H50" s="2"/>
      <c r="I50" s="2"/>
      <c r="J50" s="2"/>
      <c r="K50" s="2"/>
      <c r="L50" s="2"/>
      <c r="M50" s="2"/>
    </row>
    <row r="51" ht="14.25">
      <c r="A51" s="2"/>
      <c r="B51" s="2"/>
      <c r="C51" s="2"/>
      <c r="D51" s="2"/>
      <c r="E51" s="2"/>
      <c r="F51" s="2"/>
      <c r="G51" s="2"/>
      <c r="H51" s="2"/>
      <c r="I51" s="2"/>
      <c r="J51" s="2"/>
      <c r="K51" s="2"/>
      <c r="L51" s="2"/>
      <c r="M51" s="2"/>
    </row>
    <row r="52" ht="14.25">
      <c r="A52" s="2"/>
      <c r="B52" s="2"/>
      <c r="C52" s="2"/>
      <c r="D52" s="2"/>
      <c r="E52" s="2"/>
      <c r="F52" s="2"/>
      <c r="G52" s="2"/>
      <c r="H52" s="2"/>
      <c r="I52" s="2"/>
      <c r="J52" s="2"/>
      <c r="K52" s="2"/>
      <c r="L52" s="2"/>
      <c r="M52" s="2"/>
    </row>
    <row r="53" ht="14.25">
      <c r="A53" s="2"/>
      <c r="B53" s="2"/>
      <c r="C53" s="2"/>
      <c r="D53" s="98" t="s">
        <v>172</v>
      </c>
      <c r="E53" t="s">
        <v>173</v>
      </c>
      <c r="F53" t="s">
        <v>174</v>
      </c>
      <c r="G53" t="s">
        <v>175</v>
      </c>
      <c r="H53" s="2"/>
      <c r="I53" s="2"/>
      <c r="J53" s="2"/>
      <c r="K53" s="2"/>
      <c r="L53" s="2"/>
      <c r="M53" s="2"/>
    </row>
    <row r="54" ht="14.25">
      <c r="A54" s="2"/>
      <c r="B54" s="2"/>
      <c r="C54" s="2"/>
      <c r="D54" s="36" t="s">
        <v>176</v>
      </c>
      <c r="E54" s="99">
        <f>E53/4</f>
        <v>385</v>
      </c>
      <c r="F54" s="99">
        <f>F53/4</f>
        <v>481</v>
      </c>
      <c r="G54" s="99">
        <f>G53/4</f>
        <v>673</v>
      </c>
      <c r="H54" s="2"/>
      <c r="I54" s="2"/>
      <c r="J54" s="2"/>
      <c r="K54" s="2"/>
      <c r="L54" s="2"/>
      <c r="M54" s="2"/>
    </row>
    <row r="55" ht="14.25">
      <c r="A55" s="2"/>
      <c r="B55" s="2"/>
      <c r="C55" s="2"/>
      <c r="D55" s="36" t="s">
        <v>177</v>
      </c>
      <c r="E55" s="99">
        <f>E54-1</f>
        <v>384</v>
      </c>
      <c r="F55" s="99">
        <f>F54-1</f>
        <v>480</v>
      </c>
      <c r="G55" s="99">
        <f>G54-1</f>
        <v>672</v>
      </c>
      <c r="H55" s="2"/>
      <c r="I55" s="2"/>
      <c r="J55" s="2"/>
      <c r="K55" s="2"/>
      <c r="L55" s="2"/>
      <c r="M55" s="2"/>
    </row>
    <row r="56" ht="14.25">
      <c r="A56" s="2"/>
      <c r="B56" s="2"/>
      <c r="C56" s="2"/>
      <c r="D56" s="36" t="s">
        <v>178</v>
      </c>
      <c r="E56" s="99">
        <v>2556</v>
      </c>
      <c r="F56" s="99">
        <f>4096-1924</f>
        <v>2172</v>
      </c>
      <c r="G56" s="99">
        <f>4096-2692</f>
        <v>1404</v>
      </c>
      <c r="H56" s="2"/>
      <c r="I56" s="2"/>
      <c r="J56" s="2"/>
      <c r="K56" s="2"/>
      <c r="L56" s="2"/>
      <c r="M56" s="2"/>
    </row>
    <row r="57" ht="14.25">
      <c r="A57" s="2"/>
      <c r="B57" s="2"/>
      <c r="C57" s="2"/>
      <c r="D57" s="36" t="s">
        <v>51</v>
      </c>
      <c r="E57" s="99">
        <f>E56/4096</f>
        <v>0.6240234375</v>
      </c>
      <c r="F57" s="99">
        <f>F56/4096</f>
        <v>0.5302734375</v>
      </c>
      <c r="G57" s="99">
        <f>G56/4096</f>
        <v>0.3427734375</v>
      </c>
      <c r="H57" s="2"/>
      <c r="I57" s="2"/>
      <c r="J57" s="2"/>
      <c r="K57" s="2"/>
      <c r="L57" s="2"/>
      <c r="M57" s="2"/>
    </row>
    <row r="58" ht="14.25">
      <c r="A58" s="2"/>
      <c r="B58" s="2"/>
      <c r="C58" s="2"/>
      <c r="D58" s="2"/>
      <c r="E58" s="2"/>
      <c r="F58" s="2"/>
      <c r="G58" s="2"/>
      <c r="H58" s="2"/>
      <c r="I58" s="2"/>
      <c r="J58" s="2"/>
      <c r="K58" s="2"/>
      <c r="L58" s="2"/>
      <c r="M58" s="2"/>
    </row>
    <row r="59" ht="14.25">
      <c r="A59" s="2"/>
      <c r="B59" s="2"/>
      <c r="C59" s="2"/>
      <c r="D59" s="2"/>
      <c r="E59" s="2"/>
      <c r="F59" s="2"/>
      <c r="G59" s="2"/>
      <c r="H59" s="2"/>
      <c r="I59" s="2"/>
      <c r="J59" s="2"/>
      <c r="K59" s="2"/>
      <c r="L59" s="2"/>
      <c r="M59" s="2"/>
    </row>
    <row r="60" ht="14.25">
      <c r="A60" s="2"/>
      <c r="B60" s="45" t="s">
        <v>179</v>
      </c>
      <c r="C60" s="45"/>
      <c r="D60" s="45"/>
      <c r="E60" s="45"/>
      <c r="F60" s="45"/>
      <c r="G60" s="45"/>
      <c r="H60" s="45"/>
      <c r="I60" s="45"/>
      <c r="J60" s="45"/>
      <c r="K60" s="2"/>
      <c r="L60" s="2"/>
      <c r="M60" s="2"/>
    </row>
    <row r="61" ht="14.25">
      <c r="A61" s="2"/>
      <c r="B61" s="45"/>
      <c r="C61" s="45"/>
      <c r="D61" s="45"/>
      <c r="E61" s="45"/>
      <c r="F61" s="45"/>
      <c r="G61" s="45"/>
      <c r="H61" s="45"/>
      <c r="I61" s="45"/>
      <c r="J61" s="45"/>
      <c r="K61" s="2"/>
      <c r="L61" s="2"/>
      <c r="M61" s="2"/>
    </row>
    <row r="62" ht="14.25">
      <c r="A62" s="2"/>
      <c r="B62" s="45"/>
      <c r="C62" s="45"/>
      <c r="D62" s="45"/>
      <c r="E62" s="45"/>
      <c r="F62" s="45"/>
      <c r="G62" s="45"/>
      <c r="H62" s="45"/>
      <c r="I62" s="45"/>
      <c r="J62" s="45"/>
      <c r="K62" s="2"/>
      <c r="L62" s="2"/>
      <c r="M62" s="2"/>
    </row>
    <row r="63" ht="14.25">
      <c r="A63" s="2"/>
      <c r="B63" s="45"/>
      <c r="C63" s="45"/>
      <c r="D63" s="45"/>
      <c r="E63" s="45"/>
      <c r="F63" s="45"/>
      <c r="G63" s="45"/>
      <c r="H63" s="45"/>
      <c r="I63" s="45"/>
      <c r="J63" s="45"/>
      <c r="K63" s="2"/>
      <c r="L63" s="2"/>
      <c r="M63" s="2"/>
    </row>
    <row r="64" ht="14.25">
      <c r="A64" s="2"/>
      <c r="B64" s="45"/>
      <c r="C64" s="45"/>
      <c r="D64" s="45"/>
      <c r="E64" s="45"/>
      <c r="F64" s="45"/>
      <c r="G64" s="45"/>
      <c r="H64" s="45"/>
      <c r="I64" s="45"/>
      <c r="J64" s="45"/>
      <c r="K64" s="2"/>
      <c r="L64" s="2"/>
      <c r="M64" s="2"/>
    </row>
    <row r="65" ht="14.25">
      <c r="A65" s="2"/>
      <c r="B65" s="45"/>
      <c r="C65" s="45"/>
      <c r="D65" s="45"/>
      <c r="E65" s="45"/>
      <c r="F65" s="45"/>
      <c r="G65" s="45"/>
      <c r="H65" s="45"/>
      <c r="I65" s="45"/>
      <c r="J65" s="45"/>
      <c r="K65" s="2"/>
      <c r="L65" s="2"/>
      <c r="M65" s="2"/>
    </row>
    <row r="66" ht="14.25">
      <c r="A66" s="2"/>
      <c r="B66" s="45"/>
      <c r="C66" s="45"/>
      <c r="D66" s="45"/>
      <c r="E66" s="45"/>
      <c r="F66" s="45"/>
      <c r="G66" s="45"/>
      <c r="H66" s="45"/>
      <c r="I66" s="45"/>
      <c r="J66" s="45"/>
      <c r="K66" s="2"/>
      <c r="L66" s="2"/>
      <c r="M66" s="2"/>
    </row>
    <row r="67" ht="14.25">
      <c r="A67" s="100"/>
      <c r="B67" s="45"/>
      <c r="C67" s="45"/>
      <c r="D67" s="45"/>
      <c r="E67" s="45"/>
      <c r="F67" s="45"/>
      <c r="G67" s="45"/>
      <c r="H67" s="45"/>
      <c r="I67" s="45"/>
      <c r="J67" s="45"/>
      <c r="K67" s="101"/>
      <c r="L67" s="101"/>
      <c r="M67" s="102"/>
    </row>
    <row r="68" ht="14.25">
      <c r="A68" s="103"/>
      <c r="B68" s="45"/>
      <c r="C68" s="45"/>
      <c r="D68" s="45"/>
      <c r="E68" s="45"/>
      <c r="F68" s="45"/>
      <c r="G68" s="45"/>
      <c r="H68" s="45"/>
      <c r="I68" s="45"/>
      <c r="J68" s="45"/>
      <c r="K68" s="2"/>
      <c r="L68" s="2"/>
      <c r="M68" s="104"/>
    </row>
    <row r="69" ht="14.25">
      <c r="A69" s="103"/>
      <c r="B69" s="45"/>
      <c r="C69" s="45"/>
      <c r="D69" s="45"/>
      <c r="E69" s="45"/>
      <c r="F69" s="45"/>
      <c r="G69" s="45"/>
      <c r="H69" s="45"/>
      <c r="I69" s="45"/>
      <c r="J69" s="45"/>
      <c r="K69" s="2"/>
      <c r="L69" s="2"/>
      <c r="M69" s="104"/>
    </row>
    <row r="70" ht="14.25">
      <c r="A70" s="103"/>
      <c r="B70" s="45"/>
      <c r="C70" s="45"/>
      <c r="D70" s="45"/>
      <c r="E70" s="45"/>
      <c r="F70" s="45"/>
      <c r="G70" s="45"/>
      <c r="H70" s="45"/>
      <c r="I70" s="45"/>
      <c r="J70" s="45"/>
      <c r="K70" s="2"/>
      <c r="L70" s="2"/>
      <c r="M70" s="104"/>
    </row>
    <row r="71" ht="14.25">
      <c r="A71" s="103"/>
      <c r="B71" s="45"/>
      <c r="C71" s="45"/>
      <c r="D71" s="45"/>
      <c r="E71" s="45"/>
      <c r="F71" s="45"/>
      <c r="G71" s="45"/>
      <c r="H71" s="45"/>
      <c r="I71" s="45"/>
      <c r="J71" s="45"/>
      <c r="K71" s="2"/>
      <c r="L71" s="2"/>
      <c r="M71" s="104"/>
    </row>
    <row r="72" ht="14.25">
      <c r="A72" s="103"/>
      <c r="B72" s="45"/>
      <c r="C72" s="45"/>
      <c r="D72" s="45"/>
      <c r="E72" s="45"/>
      <c r="F72" s="45"/>
      <c r="G72" s="45"/>
      <c r="H72" s="45"/>
      <c r="I72" s="45"/>
      <c r="J72" s="45"/>
      <c r="K72" s="2"/>
      <c r="L72" s="2"/>
      <c r="M72" s="104"/>
    </row>
    <row r="73" ht="14.25">
      <c r="A73" s="103"/>
      <c r="B73" s="45"/>
      <c r="C73" s="45"/>
      <c r="D73" s="45"/>
      <c r="E73" s="45"/>
      <c r="F73" s="45"/>
      <c r="G73" s="45"/>
      <c r="H73" s="45"/>
      <c r="I73" s="45"/>
      <c r="J73" s="45"/>
      <c r="K73" s="2"/>
      <c r="L73" s="2"/>
      <c r="M73" s="104"/>
    </row>
    <row r="74" ht="14.25">
      <c r="A74" s="103"/>
      <c r="B74" s="45"/>
      <c r="C74" s="45"/>
      <c r="D74" s="45"/>
      <c r="E74" s="45"/>
      <c r="F74" s="45"/>
      <c r="G74" s="45"/>
      <c r="H74" s="45"/>
      <c r="I74" s="45"/>
      <c r="J74" s="45"/>
      <c r="K74" s="2"/>
      <c r="L74" s="2"/>
      <c r="M74" s="104"/>
    </row>
    <row r="75" ht="14.25">
      <c r="A75" s="103"/>
      <c r="B75" s="45"/>
      <c r="C75" s="45"/>
      <c r="D75" s="45"/>
      <c r="E75" s="45"/>
      <c r="F75" s="45"/>
      <c r="G75" s="45"/>
      <c r="H75" s="45"/>
      <c r="I75" s="45"/>
      <c r="J75" s="45"/>
      <c r="K75" s="2"/>
      <c r="L75" s="2"/>
      <c r="M75" s="104"/>
    </row>
    <row r="76" ht="14.25">
      <c r="A76" s="103"/>
      <c r="B76" s="45"/>
      <c r="C76" s="45"/>
      <c r="D76" s="45"/>
      <c r="E76" s="45"/>
      <c r="F76" s="45"/>
      <c r="G76" s="45"/>
      <c r="H76" s="45"/>
      <c r="I76" s="45"/>
      <c r="J76" s="45"/>
      <c r="K76" s="2"/>
      <c r="L76" s="2"/>
      <c r="M76" s="104"/>
    </row>
    <row r="77" ht="14.25">
      <c r="A77" s="103"/>
      <c r="B77" s="45"/>
      <c r="C77" s="45"/>
      <c r="D77" s="45"/>
      <c r="E77" s="45"/>
      <c r="F77" s="45"/>
      <c r="G77" s="45"/>
      <c r="H77" s="45"/>
      <c r="I77" s="45"/>
      <c r="J77" s="45"/>
      <c r="K77" s="2"/>
      <c r="L77" s="2"/>
      <c r="M77" s="104"/>
    </row>
    <row r="78" ht="14.25">
      <c r="A78" s="103"/>
      <c r="B78" s="45"/>
      <c r="C78" s="45"/>
      <c r="D78" s="45"/>
      <c r="E78" s="45"/>
      <c r="F78" s="45"/>
      <c r="G78" s="45"/>
      <c r="H78" s="45"/>
      <c r="I78" s="45"/>
      <c r="J78" s="45"/>
      <c r="K78" s="2"/>
      <c r="L78" s="2"/>
      <c r="M78" s="104"/>
    </row>
    <row r="79" ht="14.25">
      <c r="A79" s="103"/>
      <c r="B79" s="45"/>
      <c r="C79" s="45"/>
      <c r="D79" s="45"/>
      <c r="E79" s="45"/>
      <c r="F79" s="45"/>
      <c r="G79" s="45"/>
      <c r="H79" s="45"/>
      <c r="I79" s="45"/>
      <c r="J79" s="45"/>
      <c r="K79" s="2"/>
      <c r="L79" s="2"/>
      <c r="M79" s="104"/>
    </row>
    <row r="80" ht="14.25">
      <c r="A80" s="103"/>
      <c r="B80" s="45"/>
      <c r="C80" s="45"/>
      <c r="D80" s="45"/>
      <c r="E80" s="45"/>
      <c r="F80" s="45"/>
      <c r="G80" s="45"/>
      <c r="H80" s="45"/>
      <c r="I80" s="45"/>
      <c r="J80" s="45"/>
      <c r="K80" s="2"/>
      <c r="L80" s="2"/>
      <c r="M80" s="104"/>
    </row>
    <row r="81" ht="14.25">
      <c r="A81" s="103"/>
      <c r="B81" s="45"/>
      <c r="C81" s="45"/>
      <c r="D81" s="45"/>
      <c r="E81" s="45"/>
      <c r="F81" s="45"/>
      <c r="G81" s="45"/>
      <c r="H81" s="45"/>
      <c r="I81" s="45"/>
      <c r="J81" s="45"/>
      <c r="K81" s="2"/>
      <c r="L81" s="2"/>
      <c r="M81" s="104"/>
    </row>
    <row r="82" ht="14.25">
      <c r="A82" s="105"/>
      <c r="B82" s="45"/>
      <c r="C82" s="45"/>
      <c r="D82" s="45"/>
      <c r="E82" s="45"/>
      <c r="F82" s="45"/>
      <c r="G82" s="45"/>
      <c r="H82" s="45"/>
      <c r="I82" s="45"/>
      <c r="J82" s="45"/>
      <c r="K82" s="106"/>
      <c r="L82" s="106"/>
      <c r="M82" s="107"/>
    </row>
    <row r="83" ht="14.25">
      <c r="A83" s="2"/>
      <c r="B83" s="45"/>
      <c r="C83" s="45"/>
      <c r="D83" s="45"/>
      <c r="E83" s="45"/>
      <c r="F83" s="45"/>
      <c r="G83" s="45"/>
      <c r="H83" s="45"/>
      <c r="I83" s="45"/>
      <c r="J83" s="45"/>
      <c r="K83" s="2"/>
      <c r="L83" s="2"/>
      <c r="M83" s="2"/>
    </row>
    <row r="84" ht="14.25">
      <c r="A84" s="2"/>
      <c r="B84" s="45"/>
      <c r="C84" s="45"/>
      <c r="D84" s="45"/>
      <c r="E84" s="45"/>
      <c r="F84" s="45"/>
      <c r="G84" s="45"/>
      <c r="H84" s="45"/>
      <c r="I84" s="45"/>
      <c r="J84" s="45"/>
      <c r="K84" s="2"/>
      <c r="L84" s="2"/>
      <c r="M84" s="2"/>
    </row>
    <row r="85" ht="14.25">
      <c r="A85" s="2"/>
      <c r="B85" s="45"/>
      <c r="C85" s="45"/>
      <c r="D85" s="45"/>
      <c r="E85" s="45"/>
      <c r="F85" s="45"/>
      <c r="G85" s="45"/>
      <c r="H85" s="45"/>
      <c r="I85" s="45"/>
      <c r="J85" s="45"/>
      <c r="K85" s="2"/>
      <c r="L85" s="2"/>
      <c r="M85" s="2"/>
    </row>
    <row r="86" ht="14.25">
      <c r="A86" s="2"/>
      <c r="B86" s="2"/>
      <c r="C86" s="2"/>
      <c r="D86" s="2"/>
      <c r="E86" s="2"/>
      <c r="F86" s="2"/>
      <c r="G86" s="2"/>
      <c r="H86" s="2"/>
      <c r="I86" s="2"/>
      <c r="J86" s="2"/>
      <c r="K86" s="2"/>
      <c r="L86" s="2"/>
      <c r="M86" s="2"/>
    </row>
    <row r="87" ht="14.25">
      <c r="A87" s="2"/>
      <c r="B87" s="2"/>
      <c r="C87" s="2"/>
      <c r="D87" s="2"/>
      <c r="E87" s="2"/>
      <c r="F87" s="2"/>
      <c r="G87" s="2"/>
      <c r="H87" s="2"/>
      <c r="I87" s="2"/>
      <c r="J87" s="2"/>
      <c r="K87" s="2"/>
      <c r="L87" s="2"/>
      <c r="M87" s="2"/>
    </row>
    <row r="88" ht="14.25">
      <c r="A88" s="2"/>
      <c r="B88" s="2"/>
      <c r="C88" s="2"/>
      <c r="D88" s="2"/>
      <c r="E88" s="2"/>
      <c r="F88" s="2"/>
      <c r="G88" s="2"/>
      <c r="H88" s="2"/>
      <c r="I88" s="2"/>
      <c r="J88" s="2"/>
      <c r="K88" s="2"/>
      <c r="L88" s="2"/>
      <c r="M88" s="2"/>
    </row>
    <row r="89" ht="14.25">
      <c r="A89" s="2"/>
      <c r="B89" s="2"/>
      <c r="C89" s="2"/>
      <c r="D89" s="2"/>
      <c r="E89" s="2"/>
      <c r="F89" s="2"/>
      <c r="G89" s="2"/>
      <c r="H89" s="2"/>
      <c r="I89" s="2"/>
      <c r="J89" s="2"/>
      <c r="K89" s="2"/>
      <c r="L89" s="2"/>
      <c r="M89" s="2"/>
    </row>
    <row r="90" ht="14.25">
      <c r="A90" s="2"/>
      <c r="B90" s="2"/>
      <c r="C90" s="2"/>
      <c r="D90" s="2"/>
      <c r="E90" s="36" t="s">
        <v>180</v>
      </c>
      <c r="F90" s="36" t="s">
        <v>181</v>
      </c>
      <c r="G90" s="36" t="s">
        <v>182</v>
      </c>
      <c r="H90" s="36" t="s">
        <v>183</v>
      </c>
      <c r="I90" s="2"/>
      <c r="J90" s="2"/>
      <c r="K90" s="2"/>
      <c r="L90" s="2"/>
      <c r="M90" s="2"/>
    </row>
    <row r="91" ht="14.25">
      <c r="A91" s="2"/>
      <c r="B91" s="2"/>
      <c r="C91" s="2"/>
      <c r="D91" s="2"/>
      <c r="E91">
        <f>F2</f>
        <v>140065308438528</v>
      </c>
      <c r="F91">
        <f>E91-G2</f>
        <v>140065308436988</v>
      </c>
      <c r="G91">
        <f>F91/4096</f>
        <v>34195631942.624023</v>
      </c>
      <c r="H91">
        <v>0</v>
      </c>
      <c r="I91" s="2"/>
      <c r="J91" s="2"/>
      <c r="K91" s="2"/>
      <c r="L91" s="2"/>
      <c r="M91" s="2"/>
    </row>
    <row r="92" ht="14.25">
      <c r="A92" s="2"/>
      <c r="B92" s="2"/>
      <c r="C92" s="2"/>
      <c r="D92" s="2"/>
      <c r="E92">
        <f>F3</f>
        <v>140065308446720</v>
      </c>
      <c r="F92">
        <f>E92-G3</f>
        <v>140065308444796</v>
      </c>
      <c r="G92">
        <f>F92/4096</f>
        <v>34195631944.530273</v>
      </c>
      <c r="H92">
        <f>G92-G91</f>
        <v>1.90625</v>
      </c>
      <c r="I92" s="2"/>
      <c r="J92" s="2"/>
      <c r="K92" s="2"/>
      <c r="L92" s="2"/>
      <c r="M92" s="2"/>
    </row>
    <row r="93" ht="14.25">
      <c r="A93" s="2"/>
      <c r="B93" s="2"/>
      <c r="C93" s="2"/>
      <c r="D93" s="2"/>
      <c r="E93">
        <f>F4</f>
        <v>140065308454912</v>
      </c>
      <c r="F93">
        <f>E93-G4</f>
        <v>140065308452220</v>
      </c>
      <c r="G93">
        <f>F93/4096</f>
        <v>34195631946.342773</v>
      </c>
      <c r="H93">
        <f>G93-G92</f>
        <v>1.8125</v>
      </c>
      <c r="I93" s="2"/>
      <c r="J93" s="2"/>
      <c r="K93" s="2"/>
      <c r="L93" s="2"/>
      <c r="M93" s="2"/>
    </row>
    <row r="94" ht="14.25">
      <c r="A94" s="2"/>
      <c r="B94" s="2"/>
      <c r="C94" s="2"/>
      <c r="D94" s="2"/>
      <c r="E94"/>
      <c r="F94"/>
      <c r="G94"/>
      <c r="H94"/>
      <c r="I94" s="2"/>
      <c r="J94" s="2"/>
      <c r="K94" s="2"/>
      <c r="L94" s="2"/>
      <c r="M94" s="2"/>
    </row>
    <row r="95" ht="14.25">
      <c r="A95" s="2"/>
      <c r="B95" s="2"/>
      <c r="C95" s="2"/>
      <c r="D95" s="2"/>
      <c r="E95"/>
      <c r="F95"/>
      <c r="G95"/>
      <c r="H95"/>
      <c r="I95" s="2"/>
      <c r="J95" s="2"/>
      <c r="K95" s="2"/>
      <c r="L95" s="2"/>
      <c r="M95" s="2"/>
    </row>
    <row r="96" ht="14.25">
      <c r="A96" s="2"/>
      <c r="B96" s="2"/>
      <c r="C96" s="2"/>
      <c r="D96" s="2"/>
      <c r="E96" s="2"/>
      <c r="F96" s="2"/>
      <c r="G96" s="2"/>
      <c r="H96" s="2"/>
      <c r="I96" s="2"/>
      <c r="J96" s="2"/>
      <c r="K96" s="2"/>
      <c r="L96" s="2"/>
      <c r="M96" s="2"/>
    </row>
    <row r="97" ht="14.25">
      <c r="A97" s="2"/>
      <c r="B97" s="2"/>
      <c r="C97" s="2"/>
      <c r="D97" s="2"/>
      <c r="E97" s="2"/>
      <c r="F97" s="2"/>
      <c r="G97" s="2"/>
      <c r="H97" s="2"/>
      <c r="I97" s="2"/>
      <c r="J97" s="2"/>
      <c r="K97" s="2"/>
      <c r="L97" s="2"/>
      <c r="M97" s="2"/>
    </row>
    <row r="98" ht="14.25">
      <c r="A98" s="2"/>
      <c r="B98" s="30" t="s">
        <v>184</v>
      </c>
      <c r="C98" s="31"/>
      <c r="D98" s="31"/>
      <c r="E98" s="31"/>
      <c r="F98" s="31"/>
      <c r="G98" s="31"/>
      <c r="H98" s="31"/>
      <c r="I98" s="31"/>
      <c r="J98" s="31"/>
      <c r="K98" s="2"/>
      <c r="L98" s="2"/>
      <c r="M98" s="2"/>
    </row>
    <row r="99" ht="14.25">
      <c r="A99" s="2"/>
      <c r="B99" s="31"/>
      <c r="C99" s="31"/>
      <c r="D99" s="31"/>
      <c r="E99" s="31"/>
      <c r="F99" s="31"/>
      <c r="G99" s="31"/>
      <c r="H99" s="31"/>
      <c r="I99" s="31"/>
      <c r="J99" s="31"/>
      <c r="K99" s="2"/>
      <c r="L99" s="2"/>
      <c r="M99" s="2"/>
    </row>
    <row r="100" ht="14.25">
      <c r="A100" s="2"/>
      <c r="B100" s="31"/>
      <c r="C100" s="31"/>
      <c r="D100" s="31"/>
      <c r="E100" s="31"/>
      <c r="F100" s="31"/>
      <c r="G100" s="31"/>
      <c r="H100" s="31"/>
      <c r="I100" s="31"/>
      <c r="J100" s="31"/>
      <c r="K100" s="2"/>
      <c r="L100" s="2"/>
      <c r="M100" s="2"/>
    </row>
    <row r="101" ht="14.25">
      <c r="A101" s="2"/>
      <c r="B101" s="31"/>
      <c r="C101" s="31"/>
      <c r="D101" s="31"/>
      <c r="E101" s="31"/>
      <c r="F101" s="31"/>
      <c r="G101" s="31"/>
      <c r="H101" s="31"/>
      <c r="I101" s="31"/>
      <c r="J101" s="31"/>
      <c r="K101" s="2"/>
      <c r="L101" s="2"/>
      <c r="M101" s="2"/>
    </row>
    <row r="102" ht="14.25">
      <c r="A102" s="2"/>
      <c r="B102" s="31"/>
      <c r="C102" s="31"/>
      <c r="D102" s="31"/>
      <c r="E102" s="31"/>
      <c r="F102" s="31"/>
      <c r="G102" s="31"/>
      <c r="H102" s="31"/>
      <c r="I102" s="31"/>
      <c r="J102" s="31"/>
      <c r="K102" s="2"/>
      <c r="L102" s="2"/>
      <c r="M102" s="2"/>
    </row>
    <row r="103" ht="14.25">
      <c r="A103" s="2"/>
      <c r="B103" s="31"/>
      <c r="C103" s="31"/>
      <c r="D103" s="31"/>
      <c r="E103" s="31"/>
      <c r="F103" s="31"/>
      <c r="G103" s="31"/>
      <c r="H103" s="31"/>
      <c r="I103" s="31"/>
      <c r="J103" s="31"/>
      <c r="K103" s="2"/>
      <c r="L103" s="2"/>
      <c r="M103" s="2"/>
    </row>
    <row r="104" ht="14.25">
      <c r="A104" s="2"/>
      <c r="B104" s="31"/>
      <c r="C104" s="31"/>
      <c r="D104" s="31"/>
      <c r="E104" s="31"/>
      <c r="F104" s="31"/>
      <c r="G104" s="31"/>
      <c r="H104" s="31"/>
      <c r="I104" s="31"/>
      <c r="J104" s="31"/>
      <c r="K104" s="2"/>
      <c r="L104" s="2"/>
      <c r="M104" s="2"/>
    </row>
    <row r="105" ht="14.25">
      <c r="A105" s="2"/>
      <c r="B105" s="31"/>
      <c r="C105" s="31"/>
      <c r="D105" s="31"/>
      <c r="E105" s="31"/>
      <c r="F105" s="31"/>
      <c r="G105" s="31"/>
      <c r="H105" s="31"/>
      <c r="I105" s="31"/>
      <c r="J105" s="31"/>
      <c r="K105" s="2"/>
      <c r="L105" s="2"/>
      <c r="M105" s="2"/>
    </row>
    <row r="106" ht="14.25">
      <c r="A106" s="2"/>
      <c r="B106" s="31"/>
      <c r="C106" s="31"/>
      <c r="D106" s="31"/>
      <c r="E106" s="31"/>
      <c r="F106" s="31"/>
      <c r="G106" s="31"/>
      <c r="H106" s="31"/>
      <c r="I106" s="31"/>
      <c r="J106" s="31"/>
      <c r="K106" s="2"/>
      <c r="L106" s="2"/>
      <c r="M106" s="2"/>
    </row>
    <row r="107" ht="14.25">
      <c r="A107" s="2"/>
      <c r="B107" s="31"/>
      <c r="C107" s="31"/>
      <c r="D107" s="31"/>
      <c r="E107" s="31"/>
      <c r="F107" s="31"/>
      <c r="G107" s="31"/>
      <c r="H107" s="31"/>
      <c r="I107" s="31"/>
      <c r="J107" s="31"/>
      <c r="K107" s="2"/>
      <c r="L107" s="2"/>
      <c r="M107" s="2"/>
    </row>
    <row r="108" ht="14.25">
      <c r="A108" s="2"/>
      <c r="B108" s="2"/>
      <c r="C108" s="2"/>
      <c r="D108" s="2"/>
      <c r="E108" s="2"/>
      <c r="F108" s="2"/>
      <c r="G108" s="2"/>
      <c r="H108" s="2"/>
      <c r="I108" s="2"/>
      <c r="J108" s="2"/>
      <c r="K108" s="2"/>
      <c r="L108" s="2"/>
      <c r="M108" s="2"/>
    </row>
    <row r="109" ht="14.25">
      <c r="A109" s="2"/>
      <c r="B109" s="2"/>
      <c r="C109" s="2"/>
      <c r="D109" s="2"/>
      <c r="E109" s="2"/>
      <c r="F109" s="2"/>
      <c r="G109" s="2"/>
      <c r="H109" s="2"/>
      <c r="I109" s="2"/>
      <c r="J109" s="2"/>
      <c r="K109" s="2"/>
      <c r="L109" s="2"/>
      <c r="M109" s="2"/>
    </row>
    <row r="110" ht="14.25">
      <c r="A110" s="2"/>
      <c r="B110" s="2"/>
      <c r="C110" s="2"/>
      <c r="D110" s="2"/>
      <c r="E110" s="2"/>
      <c r="F110" s="2"/>
      <c r="G110" s="2"/>
      <c r="H110" s="2"/>
      <c r="I110" s="2"/>
      <c r="J110" s="2"/>
      <c r="K110" s="2"/>
      <c r="L110" s="2"/>
      <c r="M110" s="2"/>
    </row>
    <row r="111" ht="14.25">
      <c r="A111" s="2"/>
      <c r="B111" s="2"/>
      <c r="C111" s="2"/>
      <c r="D111" s="2"/>
      <c r="E111" s="2"/>
      <c r="F111" s="2"/>
      <c r="G111" s="2"/>
      <c r="H111" s="2"/>
      <c r="I111" s="2"/>
      <c r="J111" s="2"/>
      <c r="K111" s="2"/>
      <c r="L111" s="2"/>
      <c r="M111" s="2"/>
    </row>
    <row r="112" ht="14.25">
      <c r="A112" s="2"/>
      <c r="B112" s="2"/>
      <c r="C112" s="2"/>
      <c r="D112" s="2"/>
      <c r="E112" s="2"/>
      <c r="F112" s="2"/>
      <c r="G112" s="2"/>
      <c r="H112" s="2"/>
      <c r="I112" s="2"/>
      <c r="J112" s="2"/>
      <c r="K112" s="2"/>
      <c r="L112" s="2"/>
      <c r="M112" s="2"/>
    </row>
    <row r="113" ht="14.25">
      <c r="A113" s="2"/>
      <c r="B113" s="2"/>
      <c r="C113" s="2"/>
      <c r="D113" s="2"/>
      <c r="E113" s="2"/>
      <c r="F113" s="2"/>
      <c r="G113" s="2"/>
      <c r="H113" s="2"/>
      <c r="I113" s="2"/>
      <c r="J113" s="2"/>
      <c r="K113" s="2"/>
      <c r="L113" s="2"/>
      <c r="M113" s="2"/>
    </row>
  </sheetData>
  <mergeCells count="12">
    <mergeCell ref="B12:E12"/>
    <mergeCell ref="H12:J12"/>
    <mergeCell ref="B13:E13"/>
    <mergeCell ref="H13:J13"/>
    <mergeCell ref="B14:E14"/>
    <mergeCell ref="H14:J14"/>
    <mergeCell ref="B15:E15"/>
    <mergeCell ref="H15:J15"/>
    <mergeCell ref="B18:J24"/>
    <mergeCell ref="B27:J48"/>
    <mergeCell ref="B60:J85"/>
    <mergeCell ref="B98:J107"/>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A1" activeCellId="0" sqref="A1"/>
    </sheetView>
  </sheetViews>
  <sheetFormatPr defaultRowHeight="15"/>
  <cols>
    <col bestFit="1" customWidth="1" min="1" max="1" width="20.140625"/>
    <col bestFit="1" customWidth="1" min="2" max="2" width="23.28125"/>
    <col bestFit="1" customWidth="1" min="3" max="3" width="21.00390625"/>
    <col bestFit="1" customWidth="1" min="4" max="4" width="20.00390625"/>
    <col bestFit="1" customWidth="1" min="5" max="5" width="25.8515625"/>
    <col customWidth="1" min="6" max="6" width="28.421875"/>
    <col bestFit="1" customWidth="1" min="7" max="7" width="19.421875"/>
    <col bestFit="1" customWidth="1" min="8" max="8" width="25.7109375"/>
    <col bestFit="1" customWidth="1" min="9" max="9" width="22.28125"/>
    <col bestFit="1" customWidth="1" min="10" max="10" width="20.7109375"/>
    <col bestFit="1" customWidth="1" min="11" max="12" width="33.7109375"/>
    <col bestFit="1" customWidth="1" min="13" max="13" width="21.140625"/>
    <col bestFit="1" customWidth="1" min="14" max="14" width="19.57421875"/>
    <col bestFit="1" customWidth="1" min="15" max="15" width="14.57421875"/>
    <col bestFit="1" customWidth="1" min="16" max="16" width="21.28125"/>
  </cols>
  <sheetData>
    <row r="1">
      <c r="A1" s="19" t="s">
        <v>151</v>
      </c>
      <c r="B1" s="19" t="s">
        <v>152</v>
      </c>
      <c r="C1" s="19" t="s">
        <v>185</v>
      </c>
      <c r="D1" s="19" t="s">
        <v>186</v>
      </c>
      <c r="E1" s="19" t="s">
        <v>187</v>
      </c>
      <c r="F1" s="19" t="s">
        <v>188</v>
      </c>
      <c r="G1" s="19" t="s">
        <v>156</v>
      </c>
      <c r="H1" s="19" t="s">
        <v>189</v>
      </c>
      <c r="I1" s="19" t="s">
        <v>190</v>
      </c>
      <c r="J1" s="19" t="s">
        <v>191</v>
      </c>
      <c r="K1" s="20" t="s">
        <v>192</v>
      </c>
      <c r="L1" s="19" t="s">
        <v>193</v>
      </c>
      <c r="M1" s="19" t="s">
        <v>194</v>
      </c>
      <c r="N1" s="19" t="s">
        <v>195</v>
      </c>
      <c r="O1" s="19" t="s">
        <v>196</v>
      </c>
      <c r="P1" s="19" t="s">
        <v>197</v>
      </c>
    </row>
    <row r="2">
      <c r="A2" s="108">
        <v>140158518259712</v>
      </c>
      <c r="B2" s="96">
        <v>0</v>
      </c>
      <c r="C2" s="108">
        <v>140728221676000</v>
      </c>
      <c r="D2" s="108">
        <v>687194767483</v>
      </c>
      <c r="E2" s="109">
        <v>123</v>
      </c>
      <c r="F2" s="109">
        <v>160</v>
      </c>
      <c r="G2" s="19">
        <v>140158518263808</v>
      </c>
      <c r="H2" s="19">
        <v>140158518265408</v>
      </c>
      <c r="I2" s="19">
        <v>0</v>
      </c>
      <c r="J2" s="19">
        <v>53</v>
      </c>
      <c r="K2" s="19">
        <v>0</v>
      </c>
      <c r="L2" s="19">
        <v>1</v>
      </c>
      <c r="M2" s="19">
        <v>0</v>
      </c>
      <c r="N2" s="19">
        <v>4391136</v>
      </c>
      <c r="O2" s="110">
        <v>227633266688</v>
      </c>
      <c r="P2" s="19">
        <v>0</v>
      </c>
    </row>
    <row r="3">
      <c r="A3" s="108">
        <v>140158518259712</v>
      </c>
      <c r="B3" s="96">
        <v>0</v>
      </c>
      <c r="C3" s="108">
        <v>140728221676000</v>
      </c>
      <c r="D3" s="108">
        <v>687194767483</v>
      </c>
      <c r="E3" s="109">
        <v>123</v>
      </c>
      <c r="F3" s="109">
        <v>160</v>
      </c>
      <c r="G3" s="19">
        <v>140158518263808</v>
      </c>
      <c r="H3" s="19">
        <v>140158518265416</v>
      </c>
      <c r="I3" s="19">
        <v>53</v>
      </c>
      <c r="J3" s="19">
        <v>73</v>
      </c>
      <c r="K3" s="19">
        <v>0</v>
      </c>
      <c r="L3" s="19">
        <v>1</v>
      </c>
      <c r="M3" s="19">
        <v>0</v>
      </c>
      <c r="N3" s="19">
        <v>4391136</v>
      </c>
      <c r="O3" s="110">
        <v>227633266688</v>
      </c>
      <c r="P3" s="19">
        <v>0</v>
      </c>
    </row>
    <row r="4">
      <c r="A4" s="108">
        <v>140158518259712</v>
      </c>
      <c r="B4" s="96">
        <v>0</v>
      </c>
      <c r="C4" s="108">
        <v>140728221676000</v>
      </c>
      <c r="D4" s="108">
        <v>687194767483</v>
      </c>
      <c r="E4" s="109">
        <v>123</v>
      </c>
      <c r="F4" s="109">
        <v>160</v>
      </c>
      <c r="G4" s="19">
        <v>140158518263808</v>
      </c>
      <c r="H4" s="19">
        <v>140158518265424</v>
      </c>
      <c r="I4" s="19">
        <v>73</v>
      </c>
      <c r="J4" s="19">
        <v>123</v>
      </c>
      <c r="K4" s="19">
        <v>0</v>
      </c>
      <c r="L4" s="19">
        <v>1</v>
      </c>
      <c r="M4" s="19">
        <v>0</v>
      </c>
      <c r="N4" s="19">
        <v>4391136</v>
      </c>
      <c r="O4" s="110">
        <v>227633266688</v>
      </c>
      <c r="P4" s="19">
        <v>0</v>
      </c>
    </row>
    <row r="5">
      <c r="A5" s="108">
        <v>140158518259712</v>
      </c>
      <c r="B5" s="96">
        <v>0</v>
      </c>
      <c r="C5" s="108">
        <v>140728221676000</v>
      </c>
      <c r="D5" s="108">
        <v>687194767483</v>
      </c>
      <c r="E5" s="109">
        <v>123</v>
      </c>
      <c r="F5" s="109">
        <v>160</v>
      </c>
      <c r="G5" s="19">
        <v>140158518263808</v>
      </c>
      <c r="H5" s="19">
        <v>140158518265432</v>
      </c>
      <c r="I5" s="19">
        <v>123</v>
      </c>
      <c r="J5" s="19">
        <v>160</v>
      </c>
      <c r="K5" s="19">
        <v>1</v>
      </c>
      <c r="L5" s="19">
        <v>1</v>
      </c>
      <c r="M5" s="19">
        <v>123</v>
      </c>
      <c r="N5" s="19">
        <v>160</v>
      </c>
      <c r="O5" s="110">
        <v>313532612661</v>
      </c>
      <c r="P5" s="19">
        <v>1</v>
      </c>
    </row>
    <row r="6">
      <c r="A6" s="20" t="s">
        <v>147</v>
      </c>
      <c r="B6" s="20" t="s">
        <v>198</v>
      </c>
      <c r="C6" s="20" t="s">
        <v>147</v>
      </c>
      <c r="D6" s="20" t="s">
        <v>147</v>
      </c>
      <c r="E6" s="19"/>
      <c r="F6" s="19"/>
      <c r="G6" s="19"/>
      <c r="H6" s="19"/>
      <c r="I6" s="19"/>
      <c r="J6" s="19"/>
      <c r="K6" s="19"/>
      <c r="L6" s="19"/>
      <c r="M6" s="19"/>
      <c r="N6" s="19"/>
      <c r="O6" s="19"/>
      <c r="P6" s="19"/>
    </row>
    <row r="7">
      <c r="A7" s="2"/>
      <c r="B7" s="2"/>
      <c r="C7" s="2"/>
      <c r="D7" s="2"/>
      <c r="E7" s="2"/>
      <c r="F7" s="2"/>
      <c r="G7" s="2"/>
      <c r="H7" s="2"/>
      <c r="I7" s="2"/>
      <c r="J7" s="2"/>
      <c r="K7" s="2"/>
      <c r="L7" s="2"/>
      <c r="M7" s="2"/>
      <c r="N7" s="2"/>
      <c r="O7" s="2"/>
      <c r="P7" s="2"/>
    </row>
    <row r="8">
      <c r="A8" s="2"/>
      <c r="B8" s="2"/>
      <c r="C8" s="2"/>
      <c r="D8" s="2"/>
      <c r="E8" s="2"/>
      <c r="F8" s="2"/>
      <c r="G8" s="2"/>
      <c r="H8" s="2"/>
      <c r="I8" s="2"/>
      <c r="J8" s="2"/>
      <c r="K8" s="2"/>
      <c r="L8" s="2"/>
      <c r="M8" s="2"/>
      <c r="N8" s="2"/>
      <c r="O8" s="2"/>
      <c r="P8" s="2"/>
    </row>
    <row r="9">
      <c r="A9" s="111" t="s">
        <v>199</v>
      </c>
      <c r="B9" s="111"/>
      <c r="C9" s="111"/>
      <c r="D9" s="111"/>
      <c r="E9" s="2"/>
      <c r="F9" s="111" t="s">
        <v>200</v>
      </c>
      <c r="G9" s="111"/>
      <c r="H9" s="111"/>
      <c r="I9" s="111"/>
      <c r="J9" s="111"/>
      <c r="K9" s="2"/>
      <c r="L9" s="2"/>
      <c r="M9" s="2"/>
      <c r="N9" s="2"/>
      <c r="O9" s="2"/>
      <c r="P9" s="2"/>
    </row>
    <row r="10">
      <c r="A10" t="s">
        <v>201</v>
      </c>
      <c r="B10" t="s">
        <v>202</v>
      </c>
      <c r="C10" t="s">
        <v>203</v>
      </c>
      <c r="D10" t="s">
        <v>172</v>
      </c>
      <c r="E10" s="2"/>
      <c r="F10" s="112" t="s">
        <v>204</v>
      </c>
      <c r="G10" s="19">
        <f>ABS(A2-G2)</f>
        <v>4096</v>
      </c>
      <c r="H10" s="19">
        <f>ABS(A3-G3)</f>
        <v>4096</v>
      </c>
      <c r="I10" s="19">
        <f>ABS(A4-G4)</f>
        <v>4096</v>
      </c>
      <c r="J10" s="19">
        <f>ABS(A5-G5)</f>
        <v>4096</v>
      </c>
      <c r="K10" s="2"/>
      <c r="L10" s="2"/>
      <c r="M10" s="2"/>
      <c r="N10" s="2"/>
      <c r="O10" s="2"/>
      <c r="P10" s="2"/>
    </row>
    <row r="11">
      <c r="A11" s="19">
        <f>A3-A2</f>
        <v>0</v>
      </c>
      <c r="B11" s="19">
        <f>C3-C2</f>
        <v>0</v>
      </c>
      <c r="C11" s="19">
        <f>G3-G2</f>
        <v>0</v>
      </c>
      <c r="D11" s="19">
        <f>H3-H2</f>
        <v>8</v>
      </c>
      <c r="E11" s="2"/>
      <c r="F11" s="112" t="s">
        <v>205</v>
      </c>
      <c r="G11" s="19">
        <f>ABS(A2-H2)</f>
        <v>5696</v>
      </c>
      <c r="H11" s="19">
        <f>ABS(A3-H3)</f>
        <v>5704</v>
      </c>
      <c r="I11" s="19">
        <f>ABS(A4-H4)</f>
        <v>5712</v>
      </c>
      <c r="J11" s="19">
        <f>ABS(A5-H5)</f>
        <v>5720</v>
      </c>
      <c r="K11" s="2"/>
      <c r="L11" s="2"/>
      <c r="M11" s="2"/>
      <c r="N11" s="2"/>
      <c r="O11" s="2"/>
      <c r="P11" s="2"/>
    </row>
    <row r="12">
      <c r="A12" s="19">
        <f>A4-A3</f>
        <v>0</v>
      </c>
      <c r="B12" s="19">
        <f>C4-C3</f>
        <v>0</v>
      </c>
      <c r="C12" s="19">
        <f>G4-G3</f>
        <v>0</v>
      </c>
      <c r="D12" s="19">
        <f>H4-H3</f>
        <v>8</v>
      </c>
      <c r="E12" s="2"/>
      <c r="F12" s="112" t="s">
        <v>206</v>
      </c>
      <c r="G12" s="19">
        <f>ABS(G2-H2)</f>
        <v>1600</v>
      </c>
      <c r="H12" s="19">
        <f>ABS(G3-H3)</f>
        <v>1608</v>
      </c>
      <c r="I12" s="19">
        <f>ABS(G4-H4)</f>
        <v>1616</v>
      </c>
      <c r="J12" s="19">
        <f>ABS(G5-H5)</f>
        <v>1624</v>
      </c>
      <c r="K12" s="2"/>
      <c r="L12" s="2"/>
      <c r="M12" s="2"/>
      <c r="N12" s="2"/>
      <c r="O12" s="2"/>
      <c r="P12" s="2"/>
    </row>
    <row r="13">
      <c r="A13" s="19">
        <f>A5-A4</f>
        <v>0</v>
      </c>
      <c r="B13" s="19">
        <f>C5-C4</f>
        <v>0</v>
      </c>
      <c r="C13" s="19">
        <f>G5-G4</f>
        <v>0</v>
      </c>
      <c r="D13" s="19">
        <f>H5-H4</f>
        <v>8</v>
      </c>
      <c r="E13" s="2"/>
      <c r="F13" s="112" t="s">
        <v>207</v>
      </c>
      <c r="G13" s="19">
        <f>ABS(A2-C2)</f>
        <v>569703416288</v>
      </c>
      <c r="H13" s="19">
        <f>ABS(A3-C3)</f>
        <v>569703416288</v>
      </c>
      <c r="I13" s="19">
        <f>ABS(A4-C4)</f>
        <v>569703416288</v>
      </c>
      <c r="J13" s="19">
        <f>ABS(A5-C5)</f>
        <v>569703416288</v>
      </c>
      <c r="K13" s="2"/>
      <c r="L13" s="2"/>
      <c r="M13" s="2"/>
      <c r="N13" s="2"/>
      <c r="O13" s="2"/>
      <c r="P13" s="2"/>
    </row>
    <row r="14">
      <c r="A14" s="2"/>
      <c r="B14" s="2"/>
      <c r="C14" s="2"/>
      <c r="D14" s="2"/>
      <c r="E14" s="2"/>
      <c r="F14" s="112" t="s">
        <v>208</v>
      </c>
      <c r="G14" s="19">
        <f>ABS(G2-C2)</f>
        <v>569703412192</v>
      </c>
      <c r="H14" s="19">
        <f>ABS(G3-C3)</f>
        <v>569703412192</v>
      </c>
      <c r="I14" s="19">
        <f>ABS(G4-C4)</f>
        <v>569703412192</v>
      </c>
      <c r="J14" s="19">
        <f>ABS(G5-C5)</f>
        <v>569703412192</v>
      </c>
      <c r="K14" s="2"/>
      <c r="L14" s="2"/>
      <c r="M14" s="2"/>
      <c r="N14" s="2"/>
      <c r="O14" s="2"/>
      <c r="P14" s="2"/>
    </row>
    <row r="15">
      <c r="A15" s="2"/>
      <c r="B15" s="2"/>
      <c r="C15" s="2"/>
      <c r="D15" s="2"/>
      <c r="E15" s="2"/>
      <c r="F15" s="112" t="s">
        <v>209</v>
      </c>
      <c r="G15" s="19">
        <f>ABS(H2-C2)</f>
        <v>569703410592</v>
      </c>
      <c r="H15" s="19">
        <f>ABS(H3-C3)</f>
        <v>569703410584</v>
      </c>
      <c r="I15" s="19">
        <f>ABS(H4-C4)</f>
        <v>569703410576</v>
      </c>
      <c r="J15" s="19">
        <f>ABS(H5-C5)</f>
        <v>569703410568</v>
      </c>
      <c r="K15" s="2"/>
      <c r="L15" s="2"/>
      <c r="M15" s="2"/>
      <c r="N15" s="2"/>
      <c r="O15" s="2"/>
      <c r="P15" s="2"/>
    </row>
    <row r="16">
      <c r="A16" s="2"/>
      <c r="B16" s="113" t="s">
        <v>210</v>
      </c>
      <c r="C16" s="113"/>
      <c r="D16" s="2"/>
      <c r="E16" s="2"/>
      <c r="F16" s="2"/>
      <c r="G16" s="2"/>
      <c r="H16" s="2"/>
      <c r="I16" s="2"/>
      <c r="J16" s="2"/>
      <c r="K16" s="2"/>
      <c r="L16" s="2"/>
      <c r="M16" s="2"/>
      <c r="N16" s="2"/>
      <c r="O16" s="2"/>
      <c r="P16" s="2"/>
    </row>
    <row r="17">
      <c r="A17" s="2"/>
      <c r="B17" s="113"/>
      <c r="C17" s="113"/>
      <c r="D17" s="2"/>
      <c r="E17" s="2"/>
      <c r="F17" s="2"/>
      <c r="G17" s="2"/>
      <c r="H17" s="2"/>
      <c r="I17" s="2"/>
      <c r="J17" s="2"/>
      <c r="K17" s="2"/>
      <c r="L17" s="2"/>
      <c r="M17" s="2"/>
      <c r="N17" s="2"/>
      <c r="O17" s="2"/>
      <c r="P17" s="2"/>
    </row>
    <row r="18">
      <c r="A18" s="2"/>
      <c r="B18" s="113"/>
      <c r="C18" s="113"/>
      <c r="D18" s="2"/>
      <c r="E18" s="2"/>
      <c r="F18" s="111" t="s">
        <v>211</v>
      </c>
      <c r="G18" s="111"/>
      <c r="H18" s="111"/>
      <c r="I18" s="111"/>
      <c r="J18" s="111"/>
      <c r="K18" s="2"/>
      <c r="L18" s="2"/>
      <c r="M18" s="2"/>
      <c r="N18" s="2"/>
      <c r="O18" s="2"/>
      <c r="P18" s="2"/>
    </row>
    <row r="19">
      <c r="A19" s="2"/>
      <c r="B19" s="113"/>
      <c r="C19" s="113"/>
      <c r="D19" s="2"/>
      <c r="E19" s="2"/>
      <c r="F19" s="112" t="s">
        <v>204</v>
      </c>
      <c r="G19">
        <f>4096/4096</f>
        <v>1</v>
      </c>
      <c r="H19">
        <f>4096/4096</f>
        <v>1</v>
      </c>
      <c r="I19">
        <f>4096/4096</f>
        <v>1</v>
      </c>
      <c r="J19">
        <f>4096/4096</f>
        <v>1</v>
      </c>
      <c r="K19" s="2"/>
      <c r="L19" s="2"/>
      <c r="M19" s="2"/>
      <c r="N19" s="2"/>
      <c r="O19" s="2"/>
      <c r="P19" s="2"/>
    </row>
    <row r="20">
      <c r="A20" s="2"/>
      <c r="B20" s="113"/>
      <c r="C20" s="113"/>
      <c r="D20" s="2"/>
      <c r="E20" s="2"/>
      <c r="F20" s="112" t="s">
        <v>205</v>
      </c>
      <c r="G20">
        <f>5696/4096</f>
        <v>1.390625</v>
      </c>
      <c r="H20">
        <f>5704/4096</f>
        <v>1.392578125</v>
      </c>
      <c r="I20">
        <f>5712/4096</f>
        <v>1.39453125</v>
      </c>
      <c r="J20">
        <f>5720/4096</f>
        <v>1.396484375</v>
      </c>
      <c r="K20" s="2"/>
      <c r="L20" s="2"/>
      <c r="M20" s="2"/>
      <c r="N20" s="2"/>
      <c r="O20" s="2"/>
      <c r="P20" s="2"/>
    </row>
    <row r="21">
      <c r="A21" s="2"/>
      <c r="B21" s="113"/>
      <c r="C21" s="113"/>
      <c r="D21" s="2"/>
      <c r="E21" s="2"/>
      <c r="F21" s="112" t="s">
        <v>212</v>
      </c>
      <c r="G21">
        <f>1600/4096</f>
        <v>0.390625</v>
      </c>
      <c r="H21">
        <f>1608/4096</f>
        <v>0.392578125</v>
      </c>
      <c r="I21">
        <f>1616/4096</f>
        <v>0.39453125</v>
      </c>
      <c r="J21">
        <f>1624/4096</f>
        <v>0.396484375</v>
      </c>
      <c r="K21" s="2"/>
      <c r="L21" s="2"/>
      <c r="M21" s="2"/>
      <c r="N21" s="2"/>
      <c r="O21" s="2"/>
      <c r="P21" s="2"/>
    </row>
    <row r="22">
      <c r="A22" s="2"/>
      <c r="B22" s="113"/>
      <c r="C22" s="113"/>
      <c r="D22" s="2"/>
      <c r="E22" s="2"/>
      <c r="F22" s="112" t="s">
        <v>213</v>
      </c>
      <c r="G22">
        <f>569703416288/4096</f>
        <v>139087748.1171875</v>
      </c>
      <c r="H22">
        <f>569703416288/4096</f>
        <v>139087748.1171875</v>
      </c>
      <c r="I22">
        <f>569703416288/4096</f>
        <v>139087748.1171875</v>
      </c>
      <c r="J22">
        <f>569703416288/4096</f>
        <v>139087748.1171875</v>
      </c>
      <c r="K22" s="2"/>
      <c r="L22" s="2"/>
      <c r="M22" s="2"/>
      <c r="N22" s="2"/>
      <c r="O22" s="2"/>
      <c r="P22" s="2"/>
    </row>
    <row r="23">
      <c r="A23" s="2"/>
      <c r="B23" s="113"/>
      <c r="C23" s="113"/>
      <c r="D23" s="2"/>
      <c r="E23" s="2"/>
      <c r="F23" s="112" t="s">
        <v>208</v>
      </c>
      <c r="G23">
        <f>569703412192/4096</f>
        <v>139087747.1171875</v>
      </c>
      <c r="H23">
        <f>569703412192/4096</f>
        <v>139087747.1171875</v>
      </c>
      <c r="I23">
        <f>569703412192/4096</f>
        <v>139087747.1171875</v>
      </c>
      <c r="J23">
        <f>569703412192/4096</f>
        <v>139087747.1171875</v>
      </c>
      <c r="K23" s="2"/>
      <c r="L23" s="2"/>
      <c r="M23" s="2"/>
      <c r="N23" s="2"/>
      <c r="O23" s="2"/>
      <c r="P23" s="2"/>
    </row>
    <row r="24">
      <c r="A24" s="2"/>
      <c r="B24" s="113"/>
      <c r="C24" s="113"/>
      <c r="D24" s="2"/>
      <c r="E24" s="2"/>
      <c r="F24" s="112" t="s">
        <v>209</v>
      </c>
      <c r="G24">
        <f>569703410592/4096</f>
        <v>139087746.7265625</v>
      </c>
      <c r="H24">
        <f>569703410584/4096</f>
        <v>139087746.72460938</v>
      </c>
      <c r="I24">
        <f>569703410576/4096</f>
        <v>139087746.72265625</v>
      </c>
      <c r="J24">
        <f>569703410568/4096</f>
        <v>139087746.72070312</v>
      </c>
      <c r="K24" s="2"/>
      <c r="L24" s="2"/>
      <c r="M24" s="2"/>
      <c r="N24" s="2"/>
      <c r="O24" s="2"/>
      <c r="P24" s="2"/>
    </row>
    <row r="25">
      <c r="A25" s="2"/>
      <c r="B25" s="113"/>
      <c r="C25" s="113"/>
      <c r="D25" s="2"/>
      <c r="E25" s="2"/>
      <c r="F25" s="114" t="s">
        <v>214</v>
      </c>
      <c r="G25" s="19">
        <f>1600/4096</f>
        <v>0.390625</v>
      </c>
      <c r="H25" s="19">
        <f>1604/4096</f>
        <v>0.3916015625</v>
      </c>
      <c r="I25" s="19">
        <f>1608/4096</f>
        <v>0.392578125</v>
      </c>
      <c r="J25" s="19">
        <f>1612/4096</f>
        <v>0.3935546875</v>
      </c>
      <c r="K25" s="2"/>
      <c r="L25" s="2"/>
      <c r="M25" s="2"/>
      <c r="N25" s="2"/>
      <c r="O25" s="2"/>
      <c r="P25" s="2"/>
    </row>
    <row r="26">
      <c r="A26" s="2"/>
      <c r="B26" s="113"/>
      <c r="C26" s="113"/>
      <c r="D26" s="2"/>
      <c r="E26" s="2"/>
      <c r="F26" s="2"/>
      <c r="G26" s="2"/>
      <c r="H26" s="2"/>
      <c r="I26" s="2"/>
      <c r="J26" s="2"/>
      <c r="K26" s="2"/>
      <c r="L26" s="2"/>
      <c r="M26" s="2"/>
      <c r="N26" s="2"/>
      <c r="O26" s="2"/>
      <c r="P26" s="2"/>
    </row>
    <row r="27">
      <c r="A27" s="2"/>
      <c r="B27" s="2"/>
      <c r="C27" s="2"/>
      <c r="D27" s="2"/>
      <c r="E27" s="2"/>
      <c r="F27" s="112" t="s">
        <v>215</v>
      </c>
      <c r="G27">
        <f>0.390625-G25</f>
        <v>0</v>
      </c>
      <c r="H27">
        <f>0.392578125-H25</f>
        <v>0.0009765625</v>
      </c>
      <c r="I27">
        <f>0.39453125-I25</f>
        <v>0.001953125</v>
      </c>
      <c r="J27">
        <f>0.396484375-J25</f>
        <v>0.0029296875</v>
      </c>
      <c r="K27" s="2"/>
      <c r="L27" s="2"/>
      <c r="M27" s="2"/>
      <c r="N27" s="2"/>
      <c r="O27" s="2"/>
      <c r="P27" s="2"/>
    </row>
    <row r="28">
      <c r="A28" s="2"/>
      <c r="B28" s="2"/>
      <c r="C28" s="2"/>
      <c r="D28" s="2"/>
      <c r="E28" s="2"/>
      <c r="F28" s="112" t="s">
        <v>216</v>
      </c>
      <c r="G28" s="19">
        <f>G27*4096</f>
        <v>0</v>
      </c>
      <c r="H28" s="19">
        <f>H27*4096</f>
        <v>4</v>
      </c>
      <c r="I28" s="19">
        <f>I27*4096</f>
        <v>8</v>
      </c>
      <c r="J28" s="19">
        <f>J27*4096</f>
        <v>12</v>
      </c>
      <c r="K28" s="2"/>
      <c r="L28" s="2"/>
      <c r="M28" s="2"/>
      <c r="N28" s="2"/>
      <c r="O28" s="2"/>
      <c r="P28" s="2"/>
    </row>
    <row r="29">
      <c r="A29" s="2"/>
      <c r="B29" s="2"/>
      <c r="C29" s="2"/>
      <c r="D29" s="2"/>
      <c r="E29" s="2"/>
      <c r="F29" s="2"/>
      <c r="G29" s="2"/>
      <c r="H29" s="2"/>
      <c r="I29" s="2"/>
      <c r="J29" s="2"/>
      <c r="K29" s="2"/>
      <c r="L29" s="2"/>
      <c r="M29" s="2"/>
      <c r="N29" s="2"/>
      <c r="O29" s="2"/>
      <c r="P29" s="2"/>
    </row>
    <row r="30">
      <c r="A30" s="6"/>
      <c r="B30" s="97" t="s">
        <v>217</v>
      </c>
      <c r="C30" s="80"/>
      <c r="D30" s="2"/>
      <c r="E30" s="112" t="s">
        <v>218</v>
      </c>
      <c r="F30">
        <v>4096</v>
      </c>
      <c r="G30" s="19">
        <f>4096*2</f>
        <v>8192</v>
      </c>
      <c r="H30" s="19">
        <f>4096*3</f>
        <v>12288</v>
      </c>
      <c r="I30" s="19">
        <f>4096*4</f>
        <v>16384</v>
      </c>
      <c r="J30" s="19">
        <f>4096*5</f>
        <v>20480</v>
      </c>
      <c r="K30" s="19">
        <f>4096*6</f>
        <v>24576</v>
      </c>
      <c r="L30" s="2"/>
      <c r="M30" s="2"/>
      <c r="N30" s="2"/>
      <c r="O30" s="2"/>
      <c r="P30" s="2"/>
    </row>
    <row r="31">
      <c r="A31" s="6"/>
      <c r="B31" s="80"/>
      <c r="C31" s="80"/>
      <c r="D31" s="2"/>
      <c r="E31" s="112" t="s">
        <v>51</v>
      </c>
      <c r="F31" s="19">
        <f>F30/4096</f>
        <v>1</v>
      </c>
      <c r="G31" s="19">
        <f>G30/4096</f>
        <v>2</v>
      </c>
      <c r="H31" s="19">
        <f>H30/4096</f>
        <v>3</v>
      </c>
      <c r="I31" s="19">
        <f>I30/4096</f>
        <v>4</v>
      </c>
      <c r="J31" s="19">
        <f>J30/4096</f>
        <v>5</v>
      </c>
      <c r="K31" s="19">
        <f>K30/4096</f>
        <v>6</v>
      </c>
      <c r="L31" s="2"/>
      <c r="M31" s="2"/>
      <c r="N31" s="2"/>
      <c r="O31" s="2"/>
      <c r="P31" s="2"/>
    </row>
    <row r="32">
      <c r="A32" s="6"/>
      <c r="B32" s="80"/>
      <c r="C32" s="80"/>
      <c r="D32" s="2"/>
      <c r="E32" s="2"/>
      <c r="F32" s="2"/>
      <c r="G32" s="2"/>
      <c r="H32" s="2"/>
      <c r="I32" s="2"/>
      <c r="J32" s="2"/>
      <c r="K32" s="2"/>
      <c r="L32" s="2"/>
      <c r="M32" s="2"/>
      <c r="N32" s="2"/>
      <c r="O32" s="2"/>
      <c r="P32" s="2"/>
    </row>
    <row r="33">
      <c r="A33" s="6"/>
      <c r="B33" s="80"/>
      <c r="C33" s="80"/>
      <c r="D33" s="2"/>
      <c r="E33" s="112" t="s">
        <v>219</v>
      </c>
      <c r="F33" s="19">
        <f>F30/2</f>
        <v>2048</v>
      </c>
      <c r="G33" s="19">
        <f>G30/2</f>
        <v>4096</v>
      </c>
      <c r="H33" s="19">
        <f>H30/2</f>
        <v>6144</v>
      </c>
      <c r="I33" s="19">
        <f>I30/2</f>
        <v>8192</v>
      </c>
      <c r="J33" s="19">
        <f>J30/2</f>
        <v>10240</v>
      </c>
      <c r="K33" s="19">
        <f>K30/2</f>
        <v>12288</v>
      </c>
      <c r="L33" s="2"/>
      <c r="M33" s="2"/>
      <c r="N33" s="2"/>
      <c r="O33" s="2"/>
      <c r="P33" s="2"/>
    </row>
    <row r="34">
      <c r="A34" s="6"/>
      <c r="B34" s="80"/>
      <c r="C34" s="80"/>
      <c r="D34" s="2"/>
      <c r="E34" s="112" t="s">
        <v>51</v>
      </c>
      <c r="F34" s="19">
        <f>F33/4096</f>
        <v>0.5</v>
      </c>
      <c r="G34" s="19">
        <f>G33/4096</f>
        <v>1</v>
      </c>
      <c r="H34" s="19">
        <f>H33/4096</f>
        <v>1.5</v>
      </c>
      <c r="I34" s="19">
        <f>I33/4096</f>
        <v>2</v>
      </c>
      <c r="J34" s="19">
        <f>J33/4096</f>
        <v>2.5</v>
      </c>
      <c r="K34" s="19">
        <f>K33/4096</f>
        <v>3</v>
      </c>
      <c r="L34" s="2"/>
      <c r="M34" s="2"/>
      <c r="N34" s="2"/>
      <c r="O34" s="2"/>
      <c r="P34" s="2"/>
    </row>
    <row r="35">
      <c r="A35" s="6"/>
      <c r="B35" s="80"/>
      <c r="C35" s="80"/>
      <c r="D35" s="2"/>
      <c r="E35" s="2"/>
      <c r="F35" s="2"/>
      <c r="G35" s="2"/>
      <c r="H35" s="2"/>
      <c r="I35" s="2"/>
      <c r="J35" s="2"/>
      <c r="K35" s="2"/>
      <c r="L35" s="2"/>
      <c r="M35" s="2"/>
      <c r="N35" s="2"/>
      <c r="O35" s="2"/>
      <c r="P35" s="2"/>
    </row>
    <row r="36">
      <c r="A36" s="6"/>
      <c r="B36" s="80"/>
      <c r="C36" s="80"/>
      <c r="D36" s="2"/>
      <c r="E36" s="97" t="s">
        <v>220</v>
      </c>
      <c r="F36" s="80"/>
      <c r="G36" s="80"/>
      <c r="H36" s="80"/>
      <c r="I36" s="80"/>
      <c r="J36" s="80"/>
      <c r="K36" s="80"/>
      <c r="L36" s="2"/>
      <c r="M36" s="2"/>
      <c r="N36" s="2"/>
      <c r="O36" s="2"/>
      <c r="P36" s="2"/>
    </row>
    <row r="37">
      <c r="A37" s="6"/>
      <c r="B37" s="80"/>
      <c r="C37" s="80"/>
      <c r="D37" s="2"/>
      <c r="E37" s="80"/>
      <c r="F37" s="80"/>
      <c r="G37" s="80"/>
      <c r="H37" s="80"/>
      <c r="I37" s="80"/>
      <c r="J37" s="80"/>
      <c r="K37" s="80"/>
      <c r="L37" s="2"/>
      <c r="M37" s="2"/>
      <c r="N37" s="2"/>
      <c r="O37" s="2"/>
      <c r="P37" s="2"/>
    </row>
    <row r="38">
      <c r="A38" s="6"/>
      <c r="B38" s="80"/>
      <c r="C38" s="80"/>
      <c r="D38" s="2"/>
      <c r="E38" s="80"/>
      <c r="F38" s="80"/>
      <c r="G38" s="80"/>
      <c r="H38" s="80"/>
      <c r="I38" s="80"/>
      <c r="J38" s="80"/>
      <c r="K38" s="80"/>
      <c r="L38" s="2"/>
      <c r="M38" s="2"/>
      <c r="N38" s="2"/>
      <c r="O38" s="2"/>
      <c r="P38" s="2"/>
    </row>
    <row r="39">
      <c r="A39" s="6"/>
      <c r="B39" s="80"/>
      <c r="C39" s="80"/>
      <c r="D39" s="2"/>
      <c r="E39" s="80"/>
      <c r="F39" s="80"/>
      <c r="G39" s="80"/>
      <c r="H39" s="80"/>
      <c r="I39" s="80"/>
      <c r="J39" s="80"/>
      <c r="K39" s="80"/>
      <c r="L39" s="2"/>
      <c r="M39" s="2"/>
      <c r="N39" s="2"/>
      <c r="O39" s="2"/>
      <c r="P39" s="2"/>
    </row>
    <row r="40">
      <c r="A40" s="6"/>
      <c r="B40" s="80"/>
      <c r="C40" s="80"/>
      <c r="D40" s="2"/>
      <c r="E40" s="80"/>
      <c r="F40" s="80"/>
      <c r="G40" s="80"/>
      <c r="H40" s="80"/>
      <c r="I40" s="80"/>
      <c r="J40" s="80"/>
      <c r="K40" s="80"/>
      <c r="L40" s="2"/>
      <c r="M40" s="2"/>
      <c r="N40" s="2"/>
      <c r="O40" s="2"/>
      <c r="P40" s="2"/>
    </row>
    <row r="41">
      <c r="A41" s="6"/>
      <c r="B41" s="80"/>
      <c r="C41" s="80"/>
      <c r="D41" s="2"/>
      <c r="E41" s="80"/>
      <c r="F41" s="80"/>
      <c r="G41" s="80"/>
      <c r="H41" s="80"/>
      <c r="I41" s="80"/>
      <c r="J41" s="80"/>
      <c r="K41" s="80"/>
      <c r="L41" s="2"/>
      <c r="M41" s="2"/>
      <c r="N41" s="2"/>
      <c r="O41" s="2"/>
      <c r="P41" s="2"/>
    </row>
    <row r="42">
      <c r="A42" s="6"/>
      <c r="B42" s="80"/>
      <c r="C42" s="80"/>
      <c r="D42" s="2"/>
      <c r="E42" s="80"/>
      <c r="F42" s="80"/>
      <c r="G42" s="80"/>
      <c r="H42" s="80"/>
      <c r="I42" s="80"/>
      <c r="J42" s="80"/>
      <c r="K42" s="80"/>
      <c r="L42" s="2"/>
      <c r="M42" s="2"/>
      <c r="N42" s="2"/>
      <c r="O42" s="2"/>
      <c r="P42" s="2"/>
    </row>
    <row r="43">
      <c r="A43" s="6"/>
      <c r="B43" s="80"/>
      <c r="C43" s="80"/>
      <c r="D43" s="2"/>
      <c r="E43" s="80"/>
      <c r="F43" s="80"/>
      <c r="G43" s="80"/>
      <c r="H43" s="80"/>
      <c r="I43" s="80"/>
      <c r="J43" s="80"/>
      <c r="K43" s="80"/>
      <c r="L43" s="2"/>
      <c r="M43" s="2"/>
      <c r="N43" s="2"/>
      <c r="O43" s="2"/>
      <c r="P43" s="2"/>
    </row>
    <row r="44">
      <c r="A44" s="6"/>
      <c r="B44" s="80"/>
      <c r="C44" s="80"/>
      <c r="D44" s="2"/>
      <c r="E44" s="2"/>
      <c r="F44" s="2"/>
      <c r="G44" s="2"/>
      <c r="H44" s="2"/>
      <c r="I44" s="2"/>
      <c r="J44" s="2"/>
      <c r="K44" s="2"/>
      <c r="L44" s="2"/>
      <c r="M44" s="2"/>
      <c r="N44" s="2"/>
      <c r="O44" s="2"/>
      <c r="P44" s="2"/>
    </row>
    <row r="45">
      <c r="A45" s="6"/>
      <c r="B45" s="80"/>
      <c r="C45" s="80"/>
      <c r="D45" s="2"/>
      <c r="E45" s="2"/>
      <c r="F45" s="2"/>
      <c r="G45" s="2"/>
      <c r="H45" s="2"/>
      <c r="I45" s="2"/>
      <c r="J45" s="2"/>
      <c r="K45" s="2"/>
      <c r="L45" s="2"/>
      <c r="M45" s="2"/>
      <c r="N45" s="2"/>
      <c r="O45" s="2"/>
      <c r="P45" s="2"/>
    </row>
    <row r="46">
      <c r="A46" s="6"/>
      <c r="B46" s="80"/>
      <c r="C46" s="80"/>
      <c r="D46" s="2"/>
      <c r="E46" s="97" t="s">
        <v>221</v>
      </c>
      <c r="F46" s="80"/>
      <c r="G46" s="80"/>
      <c r="H46" s="80"/>
      <c r="I46" s="80"/>
      <c r="J46" s="80"/>
      <c r="K46" s="80"/>
      <c r="L46" s="2"/>
      <c r="M46" s="2"/>
      <c r="N46" s="2"/>
      <c r="O46" s="2"/>
      <c r="P46" s="2"/>
    </row>
    <row r="47">
      <c r="A47" s="6"/>
      <c r="B47" s="80"/>
      <c r="C47" s="80"/>
      <c r="D47" s="2"/>
      <c r="E47" s="80"/>
      <c r="F47" s="80"/>
      <c r="G47" s="80"/>
      <c r="H47" s="80"/>
      <c r="I47" s="80"/>
      <c r="J47" s="80"/>
      <c r="K47" s="80"/>
      <c r="L47" s="2"/>
      <c r="M47" s="2"/>
      <c r="N47" s="2"/>
      <c r="O47" s="2"/>
      <c r="P47" s="2"/>
    </row>
    <row r="48">
      <c r="A48" s="6"/>
      <c r="B48" s="80"/>
      <c r="C48" s="80"/>
      <c r="D48" s="2"/>
      <c r="E48" s="80"/>
      <c r="F48" s="80"/>
      <c r="G48" s="80"/>
      <c r="H48" s="80"/>
      <c r="I48" s="80"/>
      <c r="J48" s="80"/>
      <c r="K48" s="80"/>
      <c r="L48" s="2"/>
      <c r="M48" s="2"/>
      <c r="N48" s="2"/>
      <c r="O48" s="2"/>
      <c r="P48" s="2"/>
    </row>
    <row r="49">
      <c r="A49" s="6"/>
      <c r="B49" s="80"/>
      <c r="C49" s="80"/>
      <c r="D49" s="2"/>
      <c r="E49" s="80"/>
      <c r="F49" s="80"/>
      <c r="G49" s="80"/>
      <c r="H49" s="80"/>
      <c r="I49" s="80"/>
      <c r="J49" s="80"/>
      <c r="K49" s="80"/>
      <c r="L49" s="2"/>
      <c r="M49" s="2"/>
      <c r="N49" s="2"/>
      <c r="O49" s="2"/>
      <c r="P49" s="2"/>
    </row>
    <row r="50">
      <c r="A50" s="6"/>
      <c r="B50" s="80"/>
      <c r="C50" s="80"/>
      <c r="D50" s="2"/>
      <c r="E50" s="80"/>
      <c r="F50" s="80"/>
      <c r="G50" s="80"/>
      <c r="H50" s="80"/>
      <c r="I50" s="80"/>
      <c r="J50" s="80"/>
      <c r="K50" s="80"/>
      <c r="L50" s="2"/>
      <c r="M50" s="2"/>
      <c r="N50" s="2"/>
      <c r="O50" s="2"/>
      <c r="P50" s="2"/>
    </row>
    <row r="51">
      <c r="A51" s="6"/>
      <c r="B51" s="80"/>
      <c r="C51" s="80"/>
      <c r="D51" s="2"/>
      <c r="E51" s="80"/>
      <c r="F51" s="80"/>
      <c r="G51" s="80"/>
      <c r="H51" s="80"/>
      <c r="I51" s="80"/>
      <c r="J51" s="80"/>
      <c r="K51" s="80"/>
      <c r="L51" s="2"/>
      <c r="M51" s="2"/>
      <c r="N51" s="2"/>
      <c r="O51" s="2"/>
      <c r="P51" s="2"/>
    </row>
    <row r="52">
      <c r="A52" s="6"/>
      <c r="B52" s="80"/>
      <c r="C52" s="80"/>
      <c r="D52" s="2"/>
      <c r="E52" s="80"/>
      <c r="F52" s="80"/>
      <c r="G52" s="80"/>
      <c r="H52" s="80"/>
      <c r="I52" s="80"/>
      <c r="J52" s="80"/>
      <c r="K52" s="80"/>
      <c r="L52" s="2"/>
      <c r="M52" s="2"/>
      <c r="N52" s="2"/>
      <c r="O52" s="2"/>
      <c r="P52" s="2"/>
    </row>
    <row r="53">
      <c r="A53" s="6"/>
      <c r="B53" s="80"/>
      <c r="C53" s="80"/>
      <c r="D53" s="2"/>
      <c r="E53" s="80"/>
      <c r="F53" s="80"/>
      <c r="G53" s="80"/>
      <c r="H53" s="80"/>
      <c r="I53" s="80"/>
      <c r="J53" s="80"/>
      <c r="K53" s="80"/>
      <c r="L53" s="2"/>
      <c r="M53" s="2"/>
      <c r="N53" s="2"/>
      <c r="O53" s="2"/>
      <c r="P53" s="2"/>
    </row>
    <row r="54">
      <c r="A54" s="6"/>
      <c r="B54" s="80"/>
      <c r="C54" s="80"/>
      <c r="D54" s="2"/>
      <c r="E54" s="80"/>
      <c r="F54" s="80"/>
      <c r="G54" s="80"/>
      <c r="H54" s="80"/>
      <c r="I54" s="80"/>
      <c r="J54" s="80"/>
      <c r="K54" s="80"/>
      <c r="L54" s="2"/>
      <c r="M54" s="2"/>
      <c r="N54" s="2"/>
      <c r="O54" s="2"/>
      <c r="P54" s="2"/>
    </row>
    <row r="55">
      <c r="A55" s="6"/>
      <c r="B55" s="80"/>
      <c r="C55" s="80"/>
      <c r="D55" s="2"/>
      <c r="E55" s="80"/>
      <c r="F55" s="80"/>
      <c r="G55" s="80"/>
      <c r="H55" s="80"/>
      <c r="I55" s="80"/>
      <c r="J55" s="80"/>
      <c r="K55" s="80"/>
      <c r="L55" s="2"/>
      <c r="M55" s="2"/>
      <c r="N55" s="2"/>
      <c r="O55" s="2"/>
      <c r="P55" s="2"/>
    </row>
    <row r="56">
      <c r="A56" s="6"/>
      <c r="B56" s="80"/>
      <c r="C56" s="80"/>
      <c r="D56" s="2"/>
      <c r="E56" s="80"/>
      <c r="F56" s="80"/>
      <c r="G56" s="80"/>
      <c r="H56" s="80"/>
      <c r="I56" s="80"/>
      <c r="J56" s="80"/>
      <c r="K56" s="80"/>
      <c r="L56" s="2"/>
      <c r="M56" s="2"/>
      <c r="N56" s="2"/>
      <c r="O56" s="2"/>
      <c r="P56" s="2"/>
    </row>
    <row r="57">
      <c r="A57" s="6"/>
      <c r="B57" s="80"/>
      <c r="C57" s="80"/>
      <c r="D57" s="2"/>
      <c r="E57" s="80"/>
      <c r="F57" s="80"/>
      <c r="G57" s="80"/>
      <c r="H57" s="80"/>
      <c r="I57" s="80"/>
      <c r="J57" s="80"/>
      <c r="K57" s="80"/>
      <c r="L57" s="2"/>
      <c r="M57" s="2"/>
      <c r="N57" s="2"/>
      <c r="O57" s="2"/>
      <c r="P57" s="2"/>
    </row>
    <row r="58">
      <c r="A58" s="6"/>
      <c r="B58" s="80"/>
      <c r="C58" s="80"/>
      <c r="D58" s="2"/>
      <c r="E58" s="80"/>
      <c r="F58" s="80"/>
      <c r="G58" s="80"/>
      <c r="H58" s="80"/>
      <c r="I58" s="80"/>
      <c r="J58" s="80"/>
      <c r="K58" s="80"/>
      <c r="L58" s="2"/>
      <c r="M58" s="2"/>
      <c r="N58" s="2"/>
      <c r="O58" s="2"/>
      <c r="P58" s="2"/>
    </row>
    <row r="59">
      <c r="A59" s="6"/>
      <c r="B59" s="80"/>
      <c r="C59" s="80"/>
      <c r="D59" s="2"/>
      <c r="E59" s="80"/>
      <c r="F59" s="80"/>
      <c r="G59" s="80"/>
      <c r="H59" s="80"/>
      <c r="I59" s="80"/>
      <c r="J59" s="80"/>
      <c r="K59" s="80"/>
      <c r="L59" s="2"/>
      <c r="M59" s="2"/>
      <c r="N59" s="2"/>
      <c r="O59" s="2"/>
      <c r="P59" s="2"/>
    </row>
    <row r="60">
      <c r="A60" s="6"/>
      <c r="B60" s="80"/>
      <c r="C60" s="80"/>
      <c r="D60" s="2"/>
      <c r="E60" s="80"/>
      <c r="F60" s="80"/>
      <c r="G60" s="80"/>
      <c r="H60" s="80"/>
      <c r="I60" s="80"/>
      <c r="J60" s="80"/>
      <c r="K60" s="80"/>
      <c r="L60" s="2"/>
      <c r="M60" s="2"/>
      <c r="N60" s="2"/>
      <c r="O60" s="2"/>
      <c r="P60" s="2"/>
    </row>
    <row r="61">
      <c r="A61" s="6"/>
      <c r="B61" s="80"/>
      <c r="C61" s="80"/>
      <c r="D61" s="2"/>
      <c r="E61" s="2"/>
      <c r="F61" s="2"/>
      <c r="G61" s="2"/>
      <c r="H61" s="2"/>
      <c r="I61" s="2"/>
      <c r="J61" s="2"/>
      <c r="K61" s="2"/>
      <c r="L61" s="2"/>
      <c r="M61" s="2"/>
      <c r="N61" s="2"/>
      <c r="O61" s="2"/>
      <c r="P61" s="2"/>
    </row>
    <row r="62">
      <c r="A62" s="2"/>
      <c r="B62" s="2"/>
      <c r="C62" s="2"/>
      <c r="D62" s="2"/>
      <c r="E62" s="2"/>
      <c r="F62" s="2"/>
      <c r="G62" s="2"/>
      <c r="H62" s="2"/>
      <c r="I62" s="2"/>
      <c r="J62" s="2"/>
      <c r="K62" s="2"/>
      <c r="L62" s="2"/>
      <c r="M62" s="2"/>
      <c r="N62" s="2"/>
      <c r="O62" s="2"/>
      <c r="P62" s="2"/>
    </row>
    <row r="63">
      <c r="A63" s="2"/>
      <c r="B63" s="2"/>
      <c r="C63" s="2"/>
      <c r="D63" s="2"/>
      <c r="E63" s="2"/>
      <c r="F63" s="2"/>
      <c r="G63" s="2"/>
      <c r="H63" s="2"/>
      <c r="I63" s="2"/>
      <c r="J63" s="2"/>
      <c r="K63" s="2"/>
      <c r="L63" s="2"/>
      <c r="M63" s="2"/>
      <c r="N63" s="2"/>
      <c r="O63" s="2"/>
      <c r="P63" s="2"/>
    </row>
    <row r="64">
      <c r="A64" s="2"/>
      <c r="B64" s="2"/>
      <c r="C64" s="2"/>
      <c r="D64" s="2"/>
      <c r="E64" s="45" t="s">
        <v>222</v>
      </c>
      <c r="F64" s="45"/>
      <c r="G64" s="45"/>
      <c r="H64" s="45"/>
      <c r="I64" s="45"/>
      <c r="J64" s="45"/>
      <c r="K64" s="45"/>
      <c r="L64" s="2"/>
      <c r="M64" s="2"/>
      <c r="N64" s="2"/>
      <c r="O64" s="2"/>
      <c r="P64" s="2"/>
    </row>
    <row r="65">
      <c r="A65" s="2"/>
      <c r="B65" s="2"/>
      <c r="C65" s="2"/>
      <c r="D65" s="2"/>
      <c r="E65" s="45"/>
      <c r="F65" s="45"/>
      <c r="G65" s="45"/>
      <c r="H65" s="45"/>
      <c r="I65" s="45"/>
      <c r="J65" s="45"/>
      <c r="K65" s="45"/>
      <c r="L65" s="2"/>
      <c r="M65" s="2"/>
      <c r="N65" s="2"/>
      <c r="O65" s="2"/>
      <c r="P65" s="2"/>
    </row>
    <row r="66">
      <c r="A66" s="2"/>
      <c r="B66" s="2"/>
      <c r="C66" s="2"/>
      <c r="D66" s="2"/>
      <c r="E66" s="45"/>
      <c r="F66" s="45"/>
      <c r="G66" s="45"/>
      <c r="H66" s="45"/>
      <c r="I66" s="45"/>
      <c r="J66" s="45"/>
      <c r="K66" s="45"/>
      <c r="L66" s="2"/>
      <c r="M66" s="2"/>
      <c r="N66" s="2"/>
      <c r="O66" s="2"/>
      <c r="P66" s="2"/>
    </row>
    <row r="67">
      <c r="A67" s="2"/>
      <c r="B67" s="2"/>
      <c r="C67" s="2"/>
      <c r="D67" s="2"/>
      <c r="E67" s="45"/>
      <c r="F67" s="45"/>
      <c r="G67" s="45"/>
      <c r="H67" s="45"/>
      <c r="I67" s="45"/>
      <c r="J67" s="45"/>
      <c r="K67" s="45"/>
      <c r="L67" s="2"/>
      <c r="M67" s="2"/>
      <c r="N67" s="2"/>
      <c r="O67" s="2"/>
      <c r="P67" s="2"/>
    </row>
    <row r="68">
      <c r="A68" s="2"/>
      <c r="B68" s="2"/>
      <c r="C68" s="2"/>
      <c r="D68" s="2"/>
      <c r="E68" s="45"/>
      <c r="F68" s="45"/>
      <c r="G68" s="45"/>
      <c r="H68" s="45"/>
      <c r="I68" s="45"/>
      <c r="J68" s="45"/>
      <c r="K68" s="45"/>
      <c r="L68" s="2"/>
      <c r="M68" s="2"/>
      <c r="N68" s="2"/>
      <c r="O68" s="2"/>
      <c r="P68" s="2"/>
    </row>
    <row r="69">
      <c r="A69" s="2"/>
      <c r="B69" s="2"/>
      <c r="C69" s="2"/>
      <c r="D69" s="2"/>
      <c r="E69" s="45"/>
      <c r="F69" s="45"/>
      <c r="G69" s="45"/>
      <c r="H69" s="45"/>
      <c r="I69" s="45"/>
      <c r="J69" s="45"/>
      <c r="K69" s="45"/>
      <c r="L69" s="2"/>
      <c r="M69" s="2"/>
      <c r="N69" s="2"/>
      <c r="O69" s="2"/>
      <c r="P69" s="2"/>
    </row>
    <row r="70">
      <c r="A70" s="6"/>
      <c r="B70" s="6"/>
      <c r="C70" s="6"/>
      <c r="D70" s="6"/>
      <c r="E70" s="45"/>
      <c r="F70" s="45"/>
      <c r="G70" s="45"/>
      <c r="H70" s="45"/>
      <c r="I70" s="45"/>
      <c r="J70" s="45"/>
      <c r="K70" s="45"/>
      <c r="L70" s="6"/>
      <c r="M70" s="6"/>
      <c r="N70" s="6"/>
      <c r="O70" s="6"/>
      <c r="P70" s="6"/>
    </row>
    <row r="71">
      <c r="A71" s="6"/>
      <c r="B71" s="6"/>
      <c r="C71" s="6"/>
      <c r="D71" s="6"/>
      <c r="E71" s="45"/>
      <c r="F71" s="45"/>
      <c r="G71" s="45"/>
      <c r="H71" s="45"/>
      <c r="I71" s="45"/>
      <c r="J71" s="45"/>
      <c r="K71" s="45"/>
      <c r="L71" s="6"/>
      <c r="M71" s="6"/>
      <c r="N71" s="6"/>
      <c r="O71" s="6"/>
      <c r="P71" s="6"/>
    </row>
    <row r="72">
      <c r="A72" s="6"/>
      <c r="B72" s="6"/>
      <c r="C72" s="6"/>
      <c r="D72" s="6"/>
      <c r="E72" s="6"/>
      <c r="F72" s="6"/>
      <c r="G72" s="6"/>
      <c r="H72" s="6"/>
      <c r="I72" s="6"/>
      <c r="J72" s="6"/>
      <c r="K72" s="6"/>
      <c r="L72" s="6"/>
      <c r="M72" s="6"/>
      <c r="N72" s="6"/>
      <c r="O72" s="6"/>
      <c r="P72" s="6"/>
    </row>
    <row r="73">
      <c r="A73" s="6"/>
      <c r="B73" s="6"/>
      <c r="C73" s="6"/>
      <c r="D73" s="6"/>
      <c r="E73" s="6"/>
      <c r="F73" s="6"/>
      <c r="G73" s="6"/>
      <c r="H73" s="6"/>
      <c r="I73" s="6"/>
      <c r="J73" s="6"/>
      <c r="K73" s="6"/>
      <c r="L73" s="6"/>
      <c r="M73" s="6"/>
      <c r="N73" s="6"/>
      <c r="O73" s="6"/>
      <c r="P73" s="6"/>
    </row>
    <row r="74">
      <c r="A74" s="6"/>
      <c r="B74" s="6"/>
      <c r="C74" s="6"/>
      <c r="D74" s="6"/>
      <c r="E74" s="6"/>
      <c r="F74" s="6"/>
      <c r="G74" s="6"/>
      <c r="H74" s="6"/>
      <c r="I74" s="6"/>
      <c r="J74" s="6"/>
      <c r="K74" s="6"/>
      <c r="L74" s="6"/>
      <c r="M74" s="6"/>
      <c r="N74" s="6"/>
      <c r="O74" s="6"/>
      <c r="P74" s="6"/>
    </row>
    <row r="75">
      <c r="A75" s="6"/>
      <c r="B75" s="6"/>
      <c r="C75" s="6"/>
      <c r="D75" s="6"/>
      <c r="E75" s="6"/>
      <c r="F75" s="6"/>
      <c r="G75" s="6"/>
      <c r="H75" s="6"/>
      <c r="I75" s="6"/>
      <c r="J75" s="6"/>
      <c r="K75" s="6"/>
      <c r="L75" s="6"/>
      <c r="M75" s="6"/>
      <c r="N75" s="6"/>
      <c r="O75" s="6"/>
      <c r="P75" s="6"/>
    </row>
    <row r="76">
      <c r="A76" s="6"/>
      <c r="B76" s="6"/>
      <c r="C76" s="6"/>
      <c r="D76" s="6"/>
      <c r="E76" s="6"/>
      <c r="F76" s="6"/>
      <c r="G76" s="6"/>
      <c r="H76" s="6"/>
      <c r="I76" s="6"/>
      <c r="J76" s="6"/>
      <c r="K76" s="6"/>
      <c r="L76" s="6"/>
      <c r="M76" s="6"/>
      <c r="N76" s="6"/>
      <c r="O76" s="6"/>
      <c r="P76" s="6"/>
    </row>
    <row r="77">
      <c r="A77" s="2"/>
      <c r="B77" s="45" t="s">
        <v>223</v>
      </c>
      <c r="C77" s="31"/>
      <c r="D77" s="31"/>
      <c r="E77" s="31"/>
      <c r="F77" s="31"/>
      <c r="G77" s="31"/>
      <c r="H77" s="31"/>
      <c r="I77" s="31"/>
      <c r="J77" s="31"/>
      <c r="K77" s="31"/>
      <c r="L77" s="31"/>
      <c r="M77" s="31"/>
      <c r="N77" s="31"/>
      <c r="O77" s="31"/>
      <c r="P77" s="2"/>
    </row>
    <row r="78">
      <c r="A78" s="2"/>
      <c r="B78" s="31"/>
      <c r="C78" s="31"/>
      <c r="D78" s="31"/>
      <c r="E78" s="31"/>
      <c r="F78" s="31"/>
      <c r="G78" s="31"/>
      <c r="H78" s="31"/>
      <c r="I78" s="31"/>
      <c r="J78" s="31"/>
      <c r="K78" s="31"/>
      <c r="L78" s="31"/>
      <c r="M78" s="31"/>
      <c r="N78" s="31"/>
      <c r="O78" s="31"/>
      <c r="P78" s="2"/>
    </row>
    <row r="79">
      <c r="A79" s="2"/>
      <c r="B79" s="31"/>
      <c r="C79" s="31"/>
      <c r="D79" s="31"/>
      <c r="E79" s="31"/>
      <c r="F79" s="31"/>
      <c r="G79" s="31"/>
      <c r="H79" s="31"/>
      <c r="I79" s="31"/>
      <c r="J79" s="31"/>
      <c r="K79" s="31"/>
      <c r="L79" s="31"/>
      <c r="M79" s="31"/>
      <c r="N79" s="31"/>
      <c r="O79" s="31"/>
      <c r="P79" s="2"/>
    </row>
    <row r="80">
      <c r="A80" s="2"/>
      <c r="B80" s="31"/>
      <c r="C80" s="31"/>
      <c r="D80" s="31"/>
      <c r="E80" s="31"/>
      <c r="F80" s="31"/>
      <c r="G80" s="31"/>
      <c r="H80" s="31"/>
      <c r="I80" s="31"/>
      <c r="J80" s="31"/>
      <c r="K80" s="31"/>
      <c r="L80" s="31"/>
      <c r="M80" s="31"/>
      <c r="N80" s="31"/>
      <c r="O80" s="31"/>
      <c r="P80" s="2"/>
    </row>
    <row r="81">
      <c r="A81" s="2"/>
      <c r="B81" s="31"/>
      <c r="C81" s="31"/>
      <c r="D81" s="31"/>
      <c r="E81" s="31"/>
      <c r="F81" s="31"/>
      <c r="G81" s="31"/>
      <c r="H81" s="31"/>
      <c r="I81" s="31"/>
      <c r="J81" s="31"/>
      <c r="K81" s="31"/>
      <c r="L81" s="31"/>
      <c r="M81" s="31"/>
      <c r="N81" s="31"/>
      <c r="O81" s="31"/>
      <c r="P81" s="2"/>
    </row>
    <row r="82">
      <c r="A82" s="2"/>
      <c r="B82" s="31"/>
      <c r="C82" s="31"/>
      <c r="D82" s="31"/>
      <c r="E82" s="31"/>
      <c r="F82" s="31"/>
      <c r="G82" s="31"/>
      <c r="H82" s="31"/>
      <c r="I82" s="31"/>
      <c r="J82" s="31"/>
      <c r="K82" s="31"/>
      <c r="L82" s="31"/>
      <c r="M82" s="31"/>
      <c r="N82" s="31"/>
      <c r="O82" s="31"/>
      <c r="P82" s="2"/>
    </row>
    <row r="83">
      <c r="A83" s="2"/>
      <c r="B83" s="31"/>
      <c r="C83" s="31"/>
      <c r="D83" s="31"/>
      <c r="E83" s="31"/>
      <c r="F83" s="31"/>
      <c r="G83" s="31"/>
      <c r="H83" s="31"/>
      <c r="I83" s="31"/>
      <c r="J83" s="31"/>
      <c r="K83" s="31"/>
      <c r="L83" s="31"/>
      <c r="M83" s="31"/>
      <c r="N83" s="31"/>
      <c r="O83" s="31"/>
      <c r="P83" s="2"/>
    </row>
    <row r="84">
      <c r="A84" s="2"/>
      <c r="B84" s="31"/>
      <c r="C84" s="31"/>
      <c r="D84" s="31"/>
      <c r="E84" s="31"/>
      <c r="F84" s="31"/>
      <c r="G84" s="31"/>
      <c r="H84" s="31"/>
      <c r="I84" s="31"/>
      <c r="J84" s="31"/>
      <c r="K84" s="31"/>
      <c r="L84" s="31"/>
      <c r="M84" s="31"/>
      <c r="N84" s="31"/>
      <c r="O84" s="31"/>
      <c r="P84" s="2"/>
    </row>
    <row r="85">
      <c r="A85" s="2"/>
      <c r="B85" s="31"/>
      <c r="C85" s="31"/>
      <c r="D85" s="31"/>
      <c r="E85" s="31"/>
      <c r="F85" s="31"/>
      <c r="G85" s="31"/>
      <c r="H85" s="31"/>
      <c r="I85" s="31"/>
      <c r="J85" s="31"/>
      <c r="K85" s="31"/>
      <c r="L85" s="31"/>
      <c r="M85" s="31"/>
      <c r="N85" s="31"/>
      <c r="O85" s="31"/>
      <c r="P85" s="2"/>
    </row>
    <row r="86">
      <c r="A86" s="2"/>
      <c r="B86" s="31"/>
      <c r="C86" s="31"/>
      <c r="D86" s="31"/>
      <c r="E86" s="31"/>
      <c r="F86" s="31"/>
      <c r="G86" s="31"/>
      <c r="H86" s="31"/>
      <c r="I86" s="31"/>
      <c r="J86" s="31"/>
      <c r="K86" s="31"/>
      <c r="L86" s="31"/>
      <c r="M86" s="31"/>
      <c r="N86" s="31"/>
      <c r="O86" s="31"/>
      <c r="P86" s="2"/>
    </row>
    <row r="87">
      <c r="A87" s="2"/>
      <c r="B87" s="31"/>
      <c r="C87" s="31"/>
      <c r="D87" s="31"/>
      <c r="E87" s="31"/>
      <c r="F87" s="31"/>
      <c r="G87" s="31"/>
      <c r="H87" s="31"/>
      <c r="I87" s="31"/>
      <c r="J87" s="31"/>
      <c r="K87" s="31"/>
      <c r="L87" s="31"/>
      <c r="M87" s="31"/>
      <c r="N87" s="31"/>
      <c r="O87" s="31"/>
      <c r="P87" s="2"/>
    </row>
    <row r="88">
      <c r="A88" s="2"/>
      <c r="B88" s="31"/>
      <c r="C88" s="31"/>
      <c r="D88" s="31"/>
      <c r="E88" s="31"/>
      <c r="F88" s="31"/>
      <c r="G88" s="31"/>
      <c r="H88" s="31"/>
      <c r="I88" s="31"/>
      <c r="J88" s="31"/>
      <c r="K88" s="31"/>
      <c r="L88" s="31"/>
      <c r="M88" s="31"/>
      <c r="N88" s="31"/>
      <c r="O88" s="31"/>
      <c r="P88" s="2"/>
    </row>
    <row r="89">
      <c r="A89" s="2"/>
      <c r="B89" s="31"/>
      <c r="C89" s="31"/>
      <c r="D89" s="31"/>
      <c r="E89" s="31"/>
      <c r="F89" s="31"/>
      <c r="G89" s="31"/>
      <c r="H89" s="31"/>
      <c r="I89" s="31"/>
      <c r="J89" s="31"/>
      <c r="K89" s="31"/>
      <c r="L89" s="31"/>
      <c r="M89" s="31"/>
      <c r="N89" s="31"/>
      <c r="O89" s="31"/>
      <c r="P89" s="2"/>
    </row>
    <row r="90">
      <c r="A90" s="2"/>
      <c r="B90" s="31"/>
      <c r="C90" s="31"/>
      <c r="D90" s="31"/>
      <c r="E90" s="31"/>
      <c r="F90" s="31"/>
      <c r="G90" s="31"/>
      <c r="H90" s="31"/>
      <c r="I90" s="31"/>
      <c r="J90" s="31"/>
      <c r="K90" s="31"/>
      <c r="L90" s="31"/>
      <c r="M90" s="31"/>
      <c r="N90" s="31"/>
      <c r="O90" s="31"/>
      <c r="P90" s="2"/>
    </row>
    <row r="91">
      <c r="A91" s="2"/>
      <c r="B91" s="31"/>
      <c r="C91" s="31"/>
      <c r="D91" s="31"/>
      <c r="E91" s="31"/>
      <c r="F91" s="31"/>
      <c r="G91" s="31"/>
      <c r="H91" s="31"/>
      <c r="I91" s="31"/>
      <c r="J91" s="31"/>
      <c r="K91" s="31"/>
      <c r="L91" s="31"/>
      <c r="M91" s="31"/>
      <c r="N91" s="31"/>
      <c r="O91" s="31"/>
      <c r="P91" s="2"/>
    </row>
    <row r="92">
      <c r="A92" s="2"/>
      <c r="B92" s="2"/>
      <c r="C92" s="2"/>
      <c r="D92" s="2"/>
      <c r="E92" s="2"/>
      <c r="F92" s="2"/>
      <c r="G92" s="2"/>
      <c r="H92" s="2"/>
      <c r="I92" s="2"/>
      <c r="J92" s="2"/>
      <c r="K92" s="2"/>
      <c r="L92" s="2"/>
      <c r="M92" s="2"/>
      <c r="N92" s="2"/>
      <c r="O92" s="2"/>
      <c r="P92" s="2"/>
    </row>
    <row r="93">
      <c r="A93" s="2"/>
      <c r="B93" s="2"/>
      <c r="C93" s="2"/>
      <c r="D93" s="2"/>
      <c r="E93" s="2"/>
      <c r="F93" s="2"/>
      <c r="G93" s="2"/>
      <c r="H93" s="2"/>
      <c r="I93" s="2"/>
      <c r="J93" s="2"/>
      <c r="K93" s="2"/>
      <c r="L93" s="2"/>
      <c r="M93" s="2"/>
      <c r="N93" s="2"/>
      <c r="O93" s="2"/>
      <c r="P93" s="2"/>
    </row>
  </sheetData>
  <mergeCells count="9">
    <mergeCell ref="A9:D9"/>
    <mergeCell ref="F9:J9"/>
    <mergeCell ref="B16:C26"/>
    <mergeCell ref="F18:J18"/>
    <mergeCell ref="B30:C61"/>
    <mergeCell ref="E36:K43"/>
    <mergeCell ref="E46:K60"/>
    <mergeCell ref="E64:K71"/>
    <mergeCell ref="B77:O9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ONLYOFFICE/9.1.0.173</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